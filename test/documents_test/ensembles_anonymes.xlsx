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810"/>
  </bookViews>
  <sheets>
    <sheet name="Résultats principaux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Mur" sheetId="7" r:id="rId7"/>
  </sheets>
  <calcPr calcId="15251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2" i="1"/>
</calcChain>
</file>

<file path=xl/sharedStrings.xml><?xml version="1.0" encoding="utf-8"?>
<sst xmlns="http://schemas.openxmlformats.org/spreadsheetml/2006/main" count="694" uniqueCount="164">
  <si>
    <t>#</t>
  </si>
  <si>
    <t>Nom d'utilisateur</t>
  </si>
  <si>
    <t>Prénom</t>
  </si>
  <si>
    <t>Nom de famille</t>
  </si>
  <si>
    <t>Email</t>
  </si>
  <si>
    <t>Q1 - Choisir le bon opérateur   {1,2,3}    {1,2,3,4,5} (1 pts)</t>
  </si>
  <si>
    <t>Q2 - Choisir le bon opérateur 
A= {1,3,5,7}    B = {1,2,3,4,5}         A.....  B={1,2,3,4,5,7} (1 pts)</t>
  </si>
  <si>
    <t>Q3 - est l'ensemble? (1 pts)</t>
  </si>
  <si>
    <t>Q4 - vaut (1 pts)</t>
  </si>
  <si>
    <t>Q5 - Quand on travaille avec trois sous-ensembles, combien a-t-on de mintermes? Donner un nombre (1 pts)</t>
  </si>
  <si>
    <t>Total</t>
  </si>
  <si>
    <t>Abdoulaye Barry Diallo</t>
  </si>
  <si>
    <t/>
  </si>
  <si>
    <t xml:space="preserve">V - </t>
  </si>
  <si>
    <t>/</t>
  </si>
  <si>
    <t>X - 7 / 7</t>
  </si>
  <si>
    <t>3 / 5</t>
  </si>
  <si>
    <t>AFRASS Manar</t>
  </si>
  <si>
    <t>V - 8</t>
  </si>
  <si>
    <t>5 / 5</t>
  </si>
  <si>
    <t>BAL Justin</t>
  </si>
  <si>
    <t>X - 3</t>
  </si>
  <si>
    <t>4 / 5</t>
  </si>
  <si>
    <t>BELLENGUEZ Clément</t>
  </si>
  <si>
    <t xml:space="preserve">X - </t>
  </si>
  <si>
    <t>Ben Hadj Salem Yanis</t>
  </si>
  <si>
    <t>BENTAYEB Diae Eddine</t>
  </si>
  <si>
    <t>X - 3 / 8</t>
  </si>
  <si>
    <t>BEUTIN Thomas</t>
  </si>
  <si>
    <t>BOUDERBAL Samia</t>
  </si>
  <si>
    <t>Bourgain Daony</t>
  </si>
  <si>
    <t>BREUININ jules</t>
  </si>
  <si>
    <t>Caron Noa</t>
  </si>
  <si>
    <t>CLERCIN Noah</t>
  </si>
  <si>
    <t>CLETY Jules</t>
  </si>
  <si>
    <t>D'HONDT ROMAIN</t>
  </si>
  <si>
    <t>X - 7</t>
  </si>
  <si>
    <t>DAUBERCOURT ETHAN</t>
  </si>
  <si>
    <t>De waart Luca</t>
  </si>
  <si>
    <t>X - 1</t>
  </si>
  <si>
    <t>Debierre Florian</t>
  </si>
  <si>
    <t>X - aucune des réponses ne convient</t>
  </si>
  <si>
    <t>2 / 5</t>
  </si>
  <si>
    <t>Debruyne ilyes</t>
  </si>
  <si>
    <t>Declercq Oscar</t>
  </si>
  <si>
    <t>DELANNOY Matheo</t>
  </si>
  <si>
    <t>DELCLOY ewen</t>
  </si>
  <si>
    <t>DEVASSENNE Aymeric</t>
  </si>
  <si>
    <t>Devos Raphaël</t>
  </si>
  <si>
    <t>Doriann Lambec</t>
  </si>
  <si>
    <t>X - On en a 8</t>
  </si>
  <si>
    <t>EL FETTAHI Mourad</t>
  </si>
  <si>
    <t>X - 4 / 7</t>
  </si>
  <si>
    <t>El Yaakoubi Amine</t>
  </si>
  <si>
    <t>X - 20</t>
  </si>
  <si>
    <t>Fauvergue Kévin</t>
  </si>
  <si>
    <t>Ficquet Eve</t>
  </si>
  <si>
    <t>GODDE Robin</t>
  </si>
  <si>
    <t>Guilbert Nicolas</t>
  </si>
  <si>
    <t>V - 8 / 8</t>
  </si>
  <si>
    <t>Hans</t>
  </si>
  <si>
    <t>Hembert Joseph</t>
  </si>
  <si>
    <t>Hivin Mael</t>
  </si>
  <si>
    <t>HUMIERE Danael</t>
  </si>
  <si>
    <t>X - 7 / Ou 8 si ensemble nul comptais</t>
  </si>
  <si>
    <t>KHAYAR Marwa</t>
  </si>
  <si>
    <t>LE CROLLER Soen</t>
  </si>
  <si>
    <t>Lepine nolan</t>
  </si>
  <si>
    <t>Lievin Ilan</t>
  </si>
  <si>
    <t>LOPES Denisia</t>
  </si>
  <si>
    <t>X - 4 / 4</t>
  </si>
  <si>
    <t>Loyer Thyméo</t>
  </si>
  <si>
    <t>Matteo Tueux</t>
  </si>
  <si>
    <t>naji mahinda</t>
  </si>
  <si>
    <t>X - un</t>
  </si>
  <si>
    <t>0 / 5</t>
  </si>
  <si>
    <t>Naït Oufkir Nassim</t>
  </si>
  <si>
    <t>X - 7 / Ou 8 si ensemble nul</t>
  </si>
  <si>
    <t>NDIAYE Assane</t>
  </si>
  <si>
    <t>NGOUABI MOUKETO Prince Jr</t>
  </si>
  <si>
    <t>Nikyema Ezechias</t>
  </si>
  <si>
    <t>NION Célian</t>
  </si>
  <si>
    <t>Pepin Mathis</t>
  </si>
  <si>
    <t>Pidou Eliaz</t>
  </si>
  <si>
    <t>X - 2 / 3</t>
  </si>
  <si>
    <t>PONCHATEAU-VASSEUR Maël</t>
  </si>
  <si>
    <t>Prudhomme Théo</t>
  </si>
  <si>
    <t>Saint-Maxin Amaury</t>
  </si>
  <si>
    <t>Salami Issam</t>
  </si>
  <si>
    <t>X - 1 / Un</t>
  </si>
  <si>
    <t>Sankanou Assa</t>
  </si>
  <si>
    <t>1 / 5</t>
  </si>
  <si>
    <t>SAWICZ Axel</t>
  </si>
  <si>
    <t>Seidl Marek</t>
  </si>
  <si>
    <t>Soete Gabriel</t>
  </si>
  <si>
    <t>SPECQ Bryan</t>
  </si>
  <si>
    <t>Sy Mohamed</t>
  </si>
  <si>
    <t>Taverne thibault</t>
  </si>
  <si>
    <t>VANHERZECKE Noah</t>
  </si>
  <si>
    <t>X - 5</t>
  </si>
  <si>
    <t>Vercruysse Lou</t>
  </si>
  <si>
    <t>Wania</t>
  </si>
  <si>
    <t>Worme baptiste</t>
  </si>
  <si>
    <t>YONGOUA Maeva</t>
  </si>
  <si>
    <t>X - Trois</t>
  </si>
  <si>
    <t>Moyenne</t>
  </si>
  <si>
    <t>93.85%</t>
  </si>
  <si>
    <t>95.38%</t>
  </si>
  <si>
    <t>80%</t>
  </si>
  <si>
    <t>44.62%</t>
  </si>
  <si>
    <t>41.54%</t>
  </si>
  <si>
    <t>71.08%</t>
  </si>
  <si>
    <t>Choisir le bon opérateur   {1,2,3}    {1,2,3,4,5}</t>
  </si>
  <si>
    <t>Choix</t>
  </si>
  <si>
    <t>Nombre de votes</t>
  </si>
  <si>
    <t>%</t>
  </si>
  <si>
    <t>Commentaires</t>
  </si>
  <si>
    <t>Nombre de participants</t>
  </si>
  <si>
    <t>100%</t>
  </si>
  <si>
    <t>Nombre de participants qui ont répondu</t>
  </si>
  <si>
    <t>92.42%</t>
  </si>
  <si>
    <t>Nombre de participants qui ont répondu correctement (excl. les réponses manquantes)</t>
  </si>
  <si>
    <t>Nombre de participants qui ont répondu correctement (incl. les réponses manquantes)</t>
  </si>
  <si>
    <t>Score maximum</t>
  </si>
  <si>
    <t>Score moyen (excl. les réponses manquantes)</t>
  </si>
  <si>
    <t>Score moyen (incl. les réponses manquantes)</t>
  </si>
  <si>
    <t>Par SMS</t>
  </si>
  <si>
    <t>Par web</t>
  </si>
  <si>
    <t>Choisir le bon opérateur 
A= {1,3,5,7}    B = {1,2,3,4,5}         A.....  B={1,2,3,4,5,7}</t>
  </si>
  <si>
    <t>93.94%</t>
  </si>
  <si>
    <t>est l'ensemble?</t>
  </si>
  <si>
    <t>90.91%</t>
  </si>
  <si>
    <t>86.67%</t>
  </si>
  <si>
    <t>78.79%</t>
  </si>
  <si>
    <t>vaut</t>
  </si>
  <si>
    <t>aucune des réponses ne convient</t>
  </si>
  <si>
    <t>77.27%</t>
  </si>
  <si>
    <t>56.86%</t>
  </si>
  <si>
    <t>43.94%</t>
  </si>
  <si>
    <t>Quand on travaille avec trois sous-ensembles, combien a-t-on de mintermes? Donner un nombre</t>
  </si>
  <si>
    <t>Réponse</t>
  </si>
  <si>
    <t>7</t>
  </si>
  <si>
    <t>4</t>
  </si>
  <si>
    <t>8</t>
  </si>
  <si>
    <t>3</t>
  </si>
  <si>
    <t>1</t>
  </si>
  <si>
    <t>Trois</t>
  </si>
  <si>
    <t>20</t>
  </si>
  <si>
    <t>2</t>
  </si>
  <si>
    <t>5</t>
  </si>
  <si>
    <t>Ou 8 si ensemble nul comptais</t>
  </si>
  <si>
    <t>Ou 8 si ensemble nul</t>
  </si>
  <si>
    <t>Un</t>
  </si>
  <si>
    <t>un</t>
  </si>
  <si>
    <t>On en a 8</t>
  </si>
  <si>
    <t>44.26%</t>
  </si>
  <si>
    <t>40.91%</t>
  </si>
  <si>
    <t>Username</t>
  </si>
  <si>
    <t>First name</t>
  </si>
  <si>
    <t>Last name</t>
  </si>
  <si>
    <t>Answer</t>
  </si>
  <si>
    <t>Archived?</t>
  </si>
  <si>
    <t>By SMS</t>
  </si>
  <si>
    <t>By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</si>
</sst>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abSelected="1" workbookViewId="0">
      <selection activeCell="B2" sqref="B2:E66"/>
    </sheetView>
  </sheetViews>
  <sheetFormatPr baseColWidth="10" defaultColWidth="8.7265625" defaultRowHeight="14.5" x14ac:dyDescent="0.35"/>
  <cols>
    <col min="1" max="1" width="10" customWidth="1"/>
    <col min="2" max="2" width="28" customWidth="1"/>
    <col min="3" max="3" width="10" customWidth="1"/>
    <col min="4" max="4" width="17" customWidth="1"/>
    <col min="5" max="5" width="35" customWidth="1"/>
    <col min="6" max="6" width="65" customWidth="1"/>
    <col min="7" max="7" width="75" customWidth="1"/>
    <col min="8" max="8" width="31" customWidth="1"/>
    <col min="9" max="9" width="38" customWidth="1"/>
    <col min="10" max="10" width="75" customWidth="1"/>
    <col min="11" max="11" width="1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35">
      <c r="A2">
        <v>1</v>
      </c>
      <c r="F2" t="s">
        <v>13</v>
      </c>
      <c r="G2" t="s">
        <v>13</v>
      </c>
      <c r="H2" t="s">
        <v>13</v>
      </c>
      <c r="I2" t="s">
        <v>14</v>
      </c>
      <c r="J2" t="s">
        <v>15</v>
      </c>
      <c r="K2" t="s">
        <v>16</v>
      </c>
      <c r="L2" t="str">
        <f>MID(K2,1,1)</f>
        <v>3</v>
      </c>
      <c r="M2">
        <f>L2*1</f>
        <v>3</v>
      </c>
      <c r="N2" t="s">
        <v>11</v>
      </c>
    </row>
    <row r="3" spans="1:14" x14ac:dyDescent="0.35">
      <c r="A3">
        <v>2</v>
      </c>
      <c r="F3" t="s">
        <v>13</v>
      </c>
      <c r="G3" t="s">
        <v>13</v>
      </c>
      <c r="H3" t="s">
        <v>13</v>
      </c>
      <c r="I3" t="s">
        <v>13</v>
      </c>
      <c r="J3" t="s">
        <v>18</v>
      </c>
      <c r="K3" t="s">
        <v>19</v>
      </c>
      <c r="L3" t="str">
        <f t="shared" ref="L3:L66" si="0">MID(K3,1,1)</f>
        <v>5</v>
      </c>
      <c r="M3">
        <f t="shared" ref="M3:M66" si="1">L3*1</f>
        <v>5</v>
      </c>
      <c r="N3" t="s">
        <v>17</v>
      </c>
    </row>
    <row r="4" spans="1:14" x14ac:dyDescent="0.35">
      <c r="A4">
        <v>3</v>
      </c>
      <c r="F4" t="s">
        <v>13</v>
      </c>
      <c r="G4" t="s">
        <v>13</v>
      </c>
      <c r="H4" t="s">
        <v>13</v>
      </c>
      <c r="I4" t="s">
        <v>13</v>
      </c>
      <c r="J4" t="s">
        <v>21</v>
      </c>
      <c r="K4" t="s">
        <v>22</v>
      </c>
      <c r="L4" t="str">
        <f t="shared" si="0"/>
        <v>4</v>
      </c>
      <c r="M4">
        <f t="shared" si="1"/>
        <v>4</v>
      </c>
      <c r="N4" t="s">
        <v>20</v>
      </c>
    </row>
    <row r="5" spans="1:14" x14ac:dyDescent="0.35">
      <c r="A5">
        <v>4</v>
      </c>
      <c r="F5" t="s">
        <v>13</v>
      </c>
      <c r="G5" t="s">
        <v>13</v>
      </c>
      <c r="H5" t="s">
        <v>13</v>
      </c>
      <c r="I5" t="s">
        <v>24</v>
      </c>
      <c r="J5" t="s">
        <v>18</v>
      </c>
      <c r="K5" t="s">
        <v>22</v>
      </c>
      <c r="L5" t="str">
        <f t="shared" si="0"/>
        <v>4</v>
      </c>
      <c r="M5">
        <f t="shared" si="1"/>
        <v>4</v>
      </c>
      <c r="N5" t="s">
        <v>23</v>
      </c>
    </row>
    <row r="6" spans="1:14" x14ac:dyDescent="0.35">
      <c r="A6">
        <v>5</v>
      </c>
      <c r="F6" t="s">
        <v>13</v>
      </c>
      <c r="G6" t="s">
        <v>13</v>
      </c>
      <c r="H6" t="s">
        <v>13</v>
      </c>
      <c r="I6" t="s">
        <v>24</v>
      </c>
      <c r="J6" t="s">
        <v>18</v>
      </c>
      <c r="K6" t="s">
        <v>22</v>
      </c>
      <c r="L6" t="str">
        <f t="shared" si="0"/>
        <v>4</v>
      </c>
      <c r="M6">
        <f t="shared" si="1"/>
        <v>4</v>
      </c>
      <c r="N6" t="s">
        <v>25</v>
      </c>
    </row>
    <row r="7" spans="1:14" x14ac:dyDescent="0.35">
      <c r="A7">
        <v>6</v>
      </c>
      <c r="F7" t="s">
        <v>13</v>
      </c>
      <c r="G7" t="s">
        <v>13</v>
      </c>
      <c r="H7" t="s">
        <v>13</v>
      </c>
      <c r="I7" t="s">
        <v>13</v>
      </c>
      <c r="J7" t="s">
        <v>27</v>
      </c>
      <c r="K7" t="s">
        <v>19</v>
      </c>
      <c r="L7" t="str">
        <f t="shared" si="0"/>
        <v>5</v>
      </c>
      <c r="M7">
        <f t="shared" si="1"/>
        <v>5</v>
      </c>
      <c r="N7" t="s">
        <v>26</v>
      </c>
    </row>
    <row r="8" spans="1:14" x14ac:dyDescent="0.35">
      <c r="A8">
        <v>7</v>
      </c>
      <c r="F8" t="s">
        <v>13</v>
      </c>
      <c r="G8" t="s">
        <v>13</v>
      </c>
      <c r="H8" t="s">
        <v>13</v>
      </c>
      <c r="I8" t="s">
        <v>24</v>
      </c>
      <c r="J8" t="s">
        <v>18</v>
      </c>
      <c r="K8" t="s">
        <v>22</v>
      </c>
      <c r="L8" t="str">
        <f t="shared" si="0"/>
        <v>4</v>
      </c>
      <c r="M8">
        <f t="shared" si="1"/>
        <v>4</v>
      </c>
      <c r="N8" t="s">
        <v>28</v>
      </c>
    </row>
    <row r="9" spans="1:14" x14ac:dyDescent="0.35">
      <c r="A9">
        <v>8</v>
      </c>
      <c r="F9" t="s">
        <v>13</v>
      </c>
      <c r="G9" t="s">
        <v>13</v>
      </c>
      <c r="H9" t="s">
        <v>13</v>
      </c>
      <c r="I9" t="s">
        <v>14</v>
      </c>
      <c r="J9" t="s">
        <v>18</v>
      </c>
      <c r="K9" t="s">
        <v>22</v>
      </c>
      <c r="L9" t="str">
        <f t="shared" si="0"/>
        <v>4</v>
      </c>
      <c r="M9">
        <f t="shared" si="1"/>
        <v>4</v>
      </c>
      <c r="N9" t="s">
        <v>29</v>
      </c>
    </row>
    <row r="10" spans="1:14" x14ac:dyDescent="0.35">
      <c r="A10">
        <v>9</v>
      </c>
      <c r="F10" t="s">
        <v>13</v>
      </c>
      <c r="G10" t="s">
        <v>13</v>
      </c>
      <c r="H10" t="s">
        <v>14</v>
      </c>
      <c r="I10" t="s">
        <v>13</v>
      </c>
      <c r="J10" t="s">
        <v>21</v>
      </c>
      <c r="K10" t="s">
        <v>16</v>
      </c>
      <c r="L10" t="str">
        <f t="shared" si="0"/>
        <v>3</v>
      </c>
      <c r="M10">
        <f t="shared" si="1"/>
        <v>3</v>
      </c>
      <c r="N10" t="s">
        <v>30</v>
      </c>
    </row>
    <row r="11" spans="1:14" x14ac:dyDescent="0.35">
      <c r="A11">
        <v>10</v>
      </c>
      <c r="F11" t="s">
        <v>13</v>
      </c>
      <c r="G11" t="s">
        <v>13</v>
      </c>
      <c r="H11" t="s">
        <v>13</v>
      </c>
      <c r="I11" t="s">
        <v>13</v>
      </c>
      <c r="J11" t="s">
        <v>18</v>
      </c>
      <c r="K11" t="s">
        <v>19</v>
      </c>
      <c r="L11" t="str">
        <f t="shared" si="0"/>
        <v>5</v>
      </c>
      <c r="M11">
        <f t="shared" si="1"/>
        <v>5</v>
      </c>
      <c r="N11" t="s">
        <v>31</v>
      </c>
    </row>
    <row r="12" spans="1:14" x14ac:dyDescent="0.35">
      <c r="A12">
        <v>11</v>
      </c>
      <c r="F12" t="s">
        <v>13</v>
      </c>
      <c r="G12" t="s">
        <v>13</v>
      </c>
      <c r="H12" t="s">
        <v>13</v>
      </c>
      <c r="I12" t="s">
        <v>13</v>
      </c>
      <c r="J12" t="s">
        <v>18</v>
      </c>
      <c r="K12" t="s">
        <v>19</v>
      </c>
      <c r="L12" t="str">
        <f t="shared" si="0"/>
        <v>5</v>
      </c>
      <c r="M12">
        <f t="shared" si="1"/>
        <v>5</v>
      </c>
      <c r="N12" t="s">
        <v>32</v>
      </c>
    </row>
    <row r="13" spans="1:14" x14ac:dyDescent="0.35">
      <c r="A13">
        <v>12</v>
      </c>
      <c r="F13" t="s">
        <v>13</v>
      </c>
      <c r="G13" t="s">
        <v>13</v>
      </c>
      <c r="H13" t="s">
        <v>13</v>
      </c>
      <c r="I13" t="s">
        <v>13</v>
      </c>
      <c r="J13" t="s">
        <v>18</v>
      </c>
      <c r="K13" t="s">
        <v>19</v>
      </c>
      <c r="L13" t="str">
        <f t="shared" si="0"/>
        <v>5</v>
      </c>
      <c r="M13">
        <f t="shared" si="1"/>
        <v>5</v>
      </c>
      <c r="N13" t="s">
        <v>33</v>
      </c>
    </row>
    <row r="14" spans="1:14" x14ac:dyDescent="0.35">
      <c r="A14">
        <v>13</v>
      </c>
      <c r="F14" t="s">
        <v>13</v>
      </c>
      <c r="G14" t="s">
        <v>13</v>
      </c>
      <c r="H14" t="s">
        <v>13</v>
      </c>
      <c r="I14" t="s">
        <v>14</v>
      </c>
      <c r="J14" t="s">
        <v>18</v>
      </c>
      <c r="K14" t="s">
        <v>22</v>
      </c>
      <c r="L14" t="str">
        <f t="shared" si="0"/>
        <v>4</v>
      </c>
      <c r="M14">
        <f t="shared" si="1"/>
        <v>4</v>
      </c>
      <c r="N14" t="s">
        <v>34</v>
      </c>
    </row>
    <row r="15" spans="1:14" x14ac:dyDescent="0.35">
      <c r="A15">
        <v>14</v>
      </c>
      <c r="F15" t="s">
        <v>13</v>
      </c>
      <c r="G15" t="s">
        <v>13</v>
      </c>
      <c r="H15" t="s">
        <v>13</v>
      </c>
      <c r="I15" t="s">
        <v>13</v>
      </c>
      <c r="J15" t="s">
        <v>36</v>
      </c>
      <c r="K15" t="s">
        <v>22</v>
      </c>
      <c r="L15" t="str">
        <f t="shared" si="0"/>
        <v>4</v>
      </c>
      <c r="M15">
        <f t="shared" si="1"/>
        <v>4</v>
      </c>
      <c r="N15" t="s">
        <v>35</v>
      </c>
    </row>
    <row r="16" spans="1:14" x14ac:dyDescent="0.35">
      <c r="A16">
        <v>15</v>
      </c>
      <c r="F16" t="s">
        <v>13</v>
      </c>
      <c r="G16" t="s">
        <v>13</v>
      </c>
      <c r="H16" t="s">
        <v>13</v>
      </c>
      <c r="I16" t="s">
        <v>13</v>
      </c>
      <c r="J16" t="s">
        <v>18</v>
      </c>
      <c r="K16" t="s">
        <v>19</v>
      </c>
      <c r="L16" t="str">
        <f t="shared" si="0"/>
        <v>5</v>
      </c>
      <c r="M16">
        <f t="shared" si="1"/>
        <v>5</v>
      </c>
      <c r="N16" t="s">
        <v>37</v>
      </c>
    </row>
    <row r="17" spans="1:14" x14ac:dyDescent="0.35">
      <c r="A17">
        <v>16</v>
      </c>
      <c r="F17" t="s">
        <v>13</v>
      </c>
      <c r="G17" t="s">
        <v>13</v>
      </c>
      <c r="H17" t="s">
        <v>13</v>
      </c>
      <c r="I17" t="s">
        <v>13</v>
      </c>
      <c r="J17" t="s">
        <v>39</v>
      </c>
      <c r="K17" t="s">
        <v>22</v>
      </c>
      <c r="L17" t="str">
        <f t="shared" si="0"/>
        <v>4</v>
      </c>
      <c r="M17">
        <f t="shared" si="1"/>
        <v>4</v>
      </c>
      <c r="N17" t="s">
        <v>38</v>
      </c>
    </row>
    <row r="18" spans="1:14" x14ac:dyDescent="0.35">
      <c r="A18">
        <v>17</v>
      </c>
      <c r="F18" t="s">
        <v>13</v>
      </c>
      <c r="G18" t="s">
        <v>13</v>
      </c>
      <c r="H18" t="s">
        <v>24</v>
      </c>
      <c r="I18" t="s">
        <v>41</v>
      </c>
      <c r="J18" t="s">
        <v>21</v>
      </c>
      <c r="K18" t="s">
        <v>42</v>
      </c>
      <c r="L18" t="str">
        <f t="shared" si="0"/>
        <v>2</v>
      </c>
      <c r="M18">
        <f t="shared" si="1"/>
        <v>2</v>
      </c>
      <c r="N18" t="s">
        <v>40</v>
      </c>
    </row>
    <row r="19" spans="1:14" x14ac:dyDescent="0.35">
      <c r="A19">
        <v>18</v>
      </c>
      <c r="F19" t="s">
        <v>13</v>
      </c>
      <c r="G19" t="s">
        <v>13</v>
      </c>
      <c r="H19" t="s">
        <v>13</v>
      </c>
      <c r="I19" t="s">
        <v>41</v>
      </c>
      <c r="J19" t="s">
        <v>21</v>
      </c>
      <c r="K19" t="s">
        <v>16</v>
      </c>
      <c r="L19" t="str">
        <f t="shared" si="0"/>
        <v>3</v>
      </c>
      <c r="M19">
        <f t="shared" si="1"/>
        <v>3</v>
      </c>
      <c r="N19" t="s">
        <v>43</v>
      </c>
    </row>
    <row r="20" spans="1:14" x14ac:dyDescent="0.35">
      <c r="A20">
        <v>19</v>
      </c>
      <c r="F20" t="s">
        <v>13</v>
      </c>
      <c r="G20" t="s">
        <v>13</v>
      </c>
      <c r="H20" t="s">
        <v>13</v>
      </c>
      <c r="I20" t="s">
        <v>13</v>
      </c>
      <c r="J20" t="s">
        <v>18</v>
      </c>
      <c r="K20" t="s">
        <v>19</v>
      </c>
      <c r="L20" t="str">
        <f t="shared" si="0"/>
        <v>5</v>
      </c>
      <c r="M20">
        <f t="shared" si="1"/>
        <v>5</v>
      </c>
      <c r="N20" t="s">
        <v>44</v>
      </c>
    </row>
    <row r="21" spans="1:14" x14ac:dyDescent="0.35">
      <c r="A21">
        <v>20</v>
      </c>
      <c r="F21" t="s">
        <v>13</v>
      </c>
      <c r="G21" t="s">
        <v>13</v>
      </c>
      <c r="H21" t="s">
        <v>13</v>
      </c>
      <c r="I21" t="s">
        <v>14</v>
      </c>
      <c r="J21" t="s">
        <v>18</v>
      </c>
      <c r="K21" t="s">
        <v>22</v>
      </c>
      <c r="L21" t="str">
        <f t="shared" si="0"/>
        <v>4</v>
      </c>
      <c r="M21">
        <f t="shared" si="1"/>
        <v>4</v>
      </c>
      <c r="N21" t="s">
        <v>45</v>
      </c>
    </row>
    <row r="22" spans="1:14" x14ac:dyDescent="0.35">
      <c r="A22">
        <v>21</v>
      </c>
      <c r="F22" t="s">
        <v>13</v>
      </c>
      <c r="G22" t="s">
        <v>13</v>
      </c>
      <c r="H22" t="s">
        <v>13</v>
      </c>
      <c r="I22" t="s">
        <v>13</v>
      </c>
      <c r="J22" t="s">
        <v>18</v>
      </c>
      <c r="K22" t="s">
        <v>19</v>
      </c>
      <c r="L22" t="str">
        <f t="shared" si="0"/>
        <v>5</v>
      </c>
      <c r="M22">
        <f t="shared" si="1"/>
        <v>5</v>
      </c>
      <c r="N22" t="s">
        <v>46</v>
      </c>
    </row>
    <row r="23" spans="1:14" x14ac:dyDescent="0.35">
      <c r="A23">
        <v>22</v>
      </c>
      <c r="F23" t="s">
        <v>13</v>
      </c>
      <c r="G23" t="s">
        <v>13</v>
      </c>
      <c r="H23" t="s">
        <v>13</v>
      </c>
      <c r="I23" t="s">
        <v>41</v>
      </c>
      <c r="J23" t="s">
        <v>39</v>
      </c>
      <c r="K23" t="s">
        <v>16</v>
      </c>
      <c r="L23" t="str">
        <f t="shared" si="0"/>
        <v>3</v>
      </c>
      <c r="M23">
        <f t="shared" si="1"/>
        <v>3</v>
      </c>
      <c r="N23" t="s">
        <v>47</v>
      </c>
    </row>
    <row r="24" spans="1:14" x14ac:dyDescent="0.35">
      <c r="A24">
        <v>23</v>
      </c>
      <c r="F24" t="s">
        <v>13</v>
      </c>
      <c r="G24" t="s">
        <v>13</v>
      </c>
      <c r="H24" t="s">
        <v>13</v>
      </c>
      <c r="I24" t="s">
        <v>13</v>
      </c>
      <c r="J24" t="s">
        <v>18</v>
      </c>
      <c r="K24" t="s">
        <v>19</v>
      </c>
      <c r="L24" t="str">
        <f t="shared" si="0"/>
        <v>5</v>
      </c>
      <c r="M24">
        <f t="shared" si="1"/>
        <v>5</v>
      </c>
      <c r="N24" t="s">
        <v>48</v>
      </c>
    </row>
    <row r="25" spans="1:14" x14ac:dyDescent="0.35">
      <c r="A25">
        <v>24</v>
      </c>
      <c r="F25" t="s">
        <v>13</v>
      </c>
      <c r="G25" t="s">
        <v>13</v>
      </c>
      <c r="H25" t="s">
        <v>24</v>
      </c>
      <c r="I25" t="s">
        <v>14</v>
      </c>
      <c r="J25" t="s">
        <v>50</v>
      </c>
      <c r="K25" t="s">
        <v>42</v>
      </c>
      <c r="L25" t="str">
        <f t="shared" si="0"/>
        <v>2</v>
      </c>
      <c r="M25">
        <f t="shared" si="1"/>
        <v>2</v>
      </c>
      <c r="N25" t="s">
        <v>49</v>
      </c>
    </row>
    <row r="26" spans="1:14" x14ac:dyDescent="0.35">
      <c r="A26">
        <v>25</v>
      </c>
      <c r="F26" t="s">
        <v>13</v>
      </c>
      <c r="G26" t="s">
        <v>13</v>
      </c>
      <c r="H26" t="s">
        <v>13</v>
      </c>
      <c r="I26" t="s">
        <v>41</v>
      </c>
      <c r="J26" t="s">
        <v>52</v>
      </c>
      <c r="K26" t="s">
        <v>16</v>
      </c>
      <c r="L26" t="str">
        <f t="shared" si="0"/>
        <v>3</v>
      </c>
      <c r="M26">
        <f t="shared" si="1"/>
        <v>3</v>
      </c>
      <c r="N26" t="s">
        <v>51</v>
      </c>
    </row>
    <row r="27" spans="1:14" x14ac:dyDescent="0.35">
      <c r="A27">
        <v>26</v>
      </c>
      <c r="F27" t="s">
        <v>13</v>
      </c>
      <c r="G27" t="s">
        <v>13</v>
      </c>
      <c r="H27" t="s">
        <v>24</v>
      </c>
      <c r="I27" t="s">
        <v>14</v>
      </c>
      <c r="J27" t="s">
        <v>54</v>
      </c>
      <c r="K27" t="s">
        <v>42</v>
      </c>
      <c r="L27" t="str">
        <f t="shared" si="0"/>
        <v>2</v>
      </c>
      <c r="M27">
        <f t="shared" si="1"/>
        <v>2</v>
      </c>
      <c r="N27" t="s">
        <v>53</v>
      </c>
    </row>
    <row r="28" spans="1:14" x14ac:dyDescent="0.35">
      <c r="A28">
        <v>27</v>
      </c>
      <c r="F28" t="s">
        <v>13</v>
      </c>
      <c r="G28" t="s">
        <v>13</v>
      </c>
      <c r="H28" t="s">
        <v>24</v>
      </c>
      <c r="I28" t="s">
        <v>24</v>
      </c>
      <c r="J28" t="s">
        <v>21</v>
      </c>
      <c r="K28" t="s">
        <v>42</v>
      </c>
      <c r="L28" t="str">
        <f t="shared" si="0"/>
        <v>2</v>
      </c>
      <c r="M28">
        <f t="shared" si="1"/>
        <v>2</v>
      </c>
      <c r="N28" t="s">
        <v>55</v>
      </c>
    </row>
    <row r="29" spans="1:14" x14ac:dyDescent="0.35">
      <c r="A29">
        <v>28</v>
      </c>
      <c r="F29" t="s">
        <v>13</v>
      </c>
      <c r="G29" t="s">
        <v>13</v>
      </c>
      <c r="H29" t="s">
        <v>13</v>
      </c>
      <c r="I29" t="s">
        <v>41</v>
      </c>
      <c r="J29" t="s">
        <v>36</v>
      </c>
      <c r="K29" t="s">
        <v>16</v>
      </c>
      <c r="L29" t="str">
        <f t="shared" si="0"/>
        <v>3</v>
      </c>
      <c r="M29">
        <f t="shared" si="1"/>
        <v>3</v>
      </c>
      <c r="N29" t="s">
        <v>56</v>
      </c>
    </row>
    <row r="30" spans="1:14" x14ac:dyDescent="0.35">
      <c r="A30">
        <v>29</v>
      </c>
      <c r="F30" t="s">
        <v>13</v>
      </c>
      <c r="G30" t="s">
        <v>13</v>
      </c>
      <c r="H30" t="s">
        <v>13</v>
      </c>
      <c r="I30" t="s">
        <v>13</v>
      </c>
      <c r="J30" t="s">
        <v>18</v>
      </c>
      <c r="K30" t="s">
        <v>19</v>
      </c>
      <c r="L30" t="str">
        <f t="shared" si="0"/>
        <v>5</v>
      </c>
      <c r="M30">
        <f t="shared" si="1"/>
        <v>5</v>
      </c>
      <c r="N30" t="s">
        <v>57</v>
      </c>
    </row>
    <row r="31" spans="1:14" x14ac:dyDescent="0.35">
      <c r="A31">
        <v>30</v>
      </c>
      <c r="F31" t="s">
        <v>13</v>
      </c>
      <c r="G31" t="s">
        <v>13</v>
      </c>
      <c r="H31" t="s">
        <v>13</v>
      </c>
      <c r="I31" t="s">
        <v>13</v>
      </c>
      <c r="J31" t="s">
        <v>59</v>
      </c>
      <c r="K31" t="s">
        <v>19</v>
      </c>
      <c r="L31" t="str">
        <f t="shared" si="0"/>
        <v>5</v>
      </c>
      <c r="M31">
        <f t="shared" si="1"/>
        <v>5</v>
      </c>
      <c r="N31" t="s">
        <v>58</v>
      </c>
    </row>
    <row r="32" spans="1:14" x14ac:dyDescent="0.35">
      <c r="A32">
        <v>31</v>
      </c>
      <c r="F32" t="s">
        <v>13</v>
      </c>
      <c r="G32" t="s">
        <v>13</v>
      </c>
      <c r="H32" t="s">
        <v>13</v>
      </c>
      <c r="I32" t="s">
        <v>13</v>
      </c>
      <c r="J32" t="s">
        <v>18</v>
      </c>
      <c r="K32" t="s">
        <v>19</v>
      </c>
      <c r="L32" t="str">
        <f t="shared" si="0"/>
        <v>5</v>
      </c>
      <c r="M32">
        <f t="shared" si="1"/>
        <v>5</v>
      </c>
      <c r="N32" t="s">
        <v>60</v>
      </c>
    </row>
    <row r="33" spans="1:14" x14ac:dyDescent="0.35">
      <c r="A33">
        <v>32</v>
      </c>
      <c r="F33" t="s">
        <v>13</v>
      </c>
      <c r="G33" t="s">
        <v>13</v>
      </c>
      <c r="H33" t="s">
        <v>13</v>
      </c>
      <c r="I33" t="s">
        <v>24</v>
      </c>
      <c r="J33" t="s">
        <v>36</v>
      </c>
      <c r="K33" t="s">
        <v>16</v>
      </c>
      <c r="L33" t="str">
        <f t="shared" si="0"/>
        <v>3</v>
      </c>
      <c r="M33">
        <f t="shared" si="1"/>
        <v>3</v>
      </c>
      <c r="N33" t="s">
        <v>61</v>
      </c>
    </row>
    <row r="34" spans="1:14" x14ac:dyDescent="0.35">
      <c r="A34">
        <v>33</v>
      </c>
      <c r="F34" t="s">
        <v>13</v>
      </c>
      <c r="G34" t="s">
        <v>13</v>
      </c>
      <c r="H34" t="s">
        <v>13</v>
      </c>
      <c r="I34" t="s">
        <v>13</v>
      </c>
      <c r="J34" t="s">
        <v>18</v>
      </c>
      <c r="K34" t="s">
        <v>19</v>
      </c>
      <c r="L34" t="str">
        <f t="shared" si="0"/>
        <v>5</v>
      </c>
      <c r="M34">
        <f t="shared" si="1"/>
        <v>5</v>
      </c>
      <c r="N34" t="s">
        <v>62</v>
      </c>
    </row>
    <row r="35" spans="1:14" x14ac:dyDescent="0.35">
      <c r="A35">
        <v>34</v>
      </c>
      <c r="F35" t="s">
        <v>13</v>
      </c>
      <c r="G35" t="s">
        <v>13</v>
      </c>
      <c r="H35" t="s">
        <v>13</v>
      </c>
      <c r="I35" t="s">
        <v>13</v>
      </c>
      <c r="J35" t="s">
        <v>64</v>
      </c>
      <c r="K35" t="s">
        <v>22</v>
      </c>
      <c r="L35" t="str">
        <f t="shared" si="0"/>
        <v>4</v>
      </c>
      <c r="M35">
        <f t="shared" si="1"/>
        <v>4</v>
      </c>
      <c r="N35" t="s">
        <v>63</v>
      </c>
    </row>
    <row r="36" spans="1:14" x14ac:dyDescent="0.35">
      <c r="A36">
        <v>35</v>
      </c>
      <c r="F36" t="s">
        <v>13</v>
      </c>
      <c r="G36" t="s">
        <v>13</v>
      </c>
      <c r="H36" t="s">
        <v>14</v>
      </c>
      <c r="I36" t="s">
        <v>14</v>
      </c>
      <c r="J36" t="s">
        <v>14</v>
      </c>
      <c r="K36" t="s">
        <v>42</v>
      </c>
      <c r="L36" t="str">
        <f t="shared" si="0"/>
        <v>2</v>
      </c>
      <c r="M36">
        <f t="shared" si="1"/>
        <v>2</v>
      </c>
      <c r="N36" t="s">
        <v>65</v>
      </c>
    </row>
    <row r="37" spans="1:14" x14ac:dyDescent="0.35">
      <c r="A37">
        <v>36</v>
      </c>
      <c r="F37" t="s">
        <v>13</v>
      </c>
      <c r="G37" t="s">
        <v>13</v>
      </c>
      <c r="H37" t="s">
        <v>13</v>
      </c>
      <c r="I37" t="s">
        <v>24</v>
      </c>
      <c r="J37" t="s">
        <v>36</v>
      </c>
      <c r="K37" t="s">
        <v>16</v>
      </c>
      <c r="L37" t="str">
        <f t="shared" si="0"/>
        <v>3</v>
      </c>
      <c r="M37">
        <f t="shared" si="1"/>
        <v>3</v>
      </c>
      <c r="N37" t="s">
        <v>66</v>
      </c>
    </row>
    <row r="38" spans="1:14" x14ac:dyDescent="0.35">
      <c r="A38">
        <v>37</v>
      </c>
      <c r="F38" t="s">
        <v>13</v>
      </c>
      <c r="G38" t="s">
        <v>13</v>
      </c>
      <c r="H38" t="s">
        <v>13</v>
      </c>
      <c r="I38" t="s">
        <v>41</v>
      </c>
      <c r="J38" t="s">
        <v>39</v>
      </c>
      <c r="K38" t="s">
        <v>16</v>
      </c>
      <c r="L38" t="str">
        <f t="shared" si="0"/>
        <v>3</v>
      </c>
      <c r="M38">
        <f t="shared" si="1"/>
        <v>3</v>
      </c>
      <c r="N38" t="s">
        <v>67</v>
      </c>
    </row>
    <row r="39" spans="1:14" x14ac:dyDescent="0.35">
      <c r="A39">
        <v>38</v>
      </c>
      <c r="F39" t="s">
        <v>13</v>
      </c>
      <c r="G39" t="s">
        <v>13</v>
      </c>
      <c r="H39" t="s">
        <v>13</v>
      </c>
      <c r="I39" t="s">
        <v>24</v>
      </c>
      <c r="J39" t="s">
        <v>18</v>
      </c>
      <c r="K39" t="s">
        <v>22</v>
      </c>
      <c r="L39" t="str">
        <f t="shared" si="0"/>
        <v>4</v>
      </c>
      <c r="M39">
        <f t="shared" si="1"/>
        <v>4</v>
      </c>
      <c r="N39" t="s">
        <v>68</v>
      </c>
    </row>
    <row r="40" spans="1:14" x14ac:dyDescent="0.35">
      <c r="A40">
        <v>39</v>
      </c>
      <c r="F40" t="s">
        <v>13</v>
      </c>
      <c r="G40" t="s">
        <v>13</v>
      </c>
      <c r="H40" t="s">
        <v>24</v>
      </c>
      <c r="I40" t="s">
        <v>24</v>
      </c>
      <c r="J40" t="s">
        <v>70</v>
      </c>
      <c r="K40" t="s">
        <v>42</v>
      </c>
      <c r="L40" t="str">
        <f t="shared" si="0"/>
        <v>2</v>
      </c>
      <c r="M40">
        <f t="shared" si="1"/>
        <v>2</v>
      </c>
      <c r="N40" t="s">
        <v>69</v>
      </c>
    </row>
    <row r="41" spans="1:14" x14ac:dyDescent="0.35">
      <c r="A41">
        <v>40</v>
      </c>
      <c r="F41" t="s">
        <v>13</v>
      </c>
      <c r="G41" t="s">
        <v>13</v>
      </c>
      <c r="H41" t="s">
        <v>13</v>
      </c>
      <c r="I41" t="s">
        <v>41</v>
      </c>
      <c r="J41" t="s">
        <v>18</v>
      </c>
      <c r="K41" t="s">
        <v>22</v>
      </c>
      <c r="L41" t="str">
        <f t="shared" si="0"/>
        <v>4</v>
      </c>
      <c r="M41">
        <f t="shared" si="1"/>
        <v>4</v>
      </c>
      <c r="N41" t="s">
        <v>71</v>
      </c>
    </row>
    <row r="42" spans="1:14" x14ac:dyDescent="0.35">
      <c r="A42">
        <v>41</v>
      </c>
      <c r="F42" t="s">
        <v>13</v>
      </c>
      <c r="G42" t="s">
        <v>13</v>
      </c>
      <c r="H42" t="s">
        <v>13</v>
      </c>
      <c r="I42" t="s">
        <v>13</v>
      </c>
      <c r="J42" t="s">
        <v>18</v>
      </c>
      <c r="K42" t="s">
        <v>19</v>
      </c>
      <c r="L42" t="str">
        <f t="shared" si="0"/>
        <v>5</v>
      </c>
      <c r="M42">
        <f t="shared" si="1"/>
        <v>5</v>
      </c>
      <c r="N42" t="s">
        <v>72</v>
      </c>
    </row>
    <row r="43" spans="1:14" x14ac:dyDescent="0.35">
      <c r="A43">
        <v>42</v>
      </c>
      <c r="F43" t="s">
        <v>14</v>
      </c>
      <c r="G43" t="s">
        <v>14</v>
      </c>
      <c r="H43" t="s">
        <v>14</v>
      </c>
      <c r="I43" t="s">
        <v>14</v>
      </c>
      <c r="J43" t="s">
        <v>74</v>
      </c>
      <c r="K43" t="s">
        <v>75</v>
      </c>
      <c r="L43" t="str">
        <f t="shared" si="0"/>
        <v>0</v>
      </c>
      <c r="M43">
        <f t="shared" si="1"/>
        <v>0</v>
      </c>
      <c r="N43" t="s">
        <v>73</v>
      </c>
    </row>
    <row r="44" spans="1:14" x14ac:dyDescent="0.35">
      <c r="A44">
        <v>43</v>
      </c>
      <c r="F44" t="s">
        <v>13</v>
      </c>
      <c r="G44" t="s">
        <v>13</v>
      </c>
      <c r="H44" t="s">
        <v>13</v>
      </c>
      <c r="I44" t="s">
        <v>13</v>
      </c>
      <c r="J44" t="s">
        <v>77</v>
      </c>
      <c r="K44" t="s">
        <v>22</v>
      </c>
      <c r="L44" t="str">
        <f t="shared" si="0"/>
        <v>4</v>
      </c>
      <c r="M44">
        <f t="shared" si="1"/>
        <v>4</v>
      </c>
      <c r="N44" t="s">
        <v>76</v>
      </c>
    </row>
    <row r="45" spans="1:14" x14ac:dyDescent="0.35">
      <c r="A45">
        <v>44</v>
      </c>
      <c r="F45" t="s">
        <v>13</v>
      </c>
      <c r="G45" t="s">
        <v>13</v>
      </c>
      <c r="H45" t="s">
        <v>13</v>
      </c>
      <c r="I45" t="s">
        <v>41</v>
      </c>
      <c r="J45" t="s">
        <v>39</v>
      </c>
      <c r="K45" t="s">
        <v>16</v>
      </c>
      <c r="L45" t="str">
        <f t="shared" si="0"/>
        <v>3</v>
      </c>
      <c r="M45">
        <f t="shared" si="1"/>
        <v>3</v>
      </c>
      <c r="N45" t="s">
        <v>78</v>
      </c>
    </row>
    <row r="46" spans="1:14" x14ac:dyDescent="0.35">
      <c r="A46">
        <v>45</v>
      </c>
      <c r="F46" t="s">
        <v>13</v>
      </c>
      <c r="G46" t="s">
        <v>13</v>
      </c>
      <c r="H46" t="s">
        <v>13</v>
      </c>
      <c r="I46" t="s">
        <v>13</v>
      </c>
      <c r="J46" t="s">
        <v>18</v>
      </c>
      <c r="K46" t="s">
        <v>19</v>
      </c>
      <c r="L46" t="str">
        <f t="shared" si="0"/>
        <v>5</v>
      </c>
      <c r="M46">
        <f t="shared" si="1"/>
        <v>5</v>
      </c>
      <c r="N46" t="s">
        <v>79</v>
      </c>
    </row>
    <row r="47" spans="1:14" x14ac:dyDescent="0.35">
      <c r="A47">
        <v>46</v>
      </c>
      <c r="F47" t="s">
        <v>13</v>
      </c>
      <c r="G47" t="s">
        <v>13</v>
      </c>
      <c r="H47" t="s">
        <v>13</v>
      </c>
      <c r="I47" t="s">
        <v>24</v>
      </c>
      <c r="J47" t="s">
        <v>21</v>
      </c>
      <c r="K47" t="s">
        <v>16</v>
      </c>
      <c r="L47" t="str">
        <f t="shared" si="0"/>
        <v>3</v>
      </c>
      <c r="M47">
        <f t="shared" si="1"/>
        <v>3</v>
      </c>
      <c r="N47" t="s">
        <v>80</v>
      </c>
    </row>
    <row r="48" spans="1:14" x14ac:dyDescent="0.35">
      <c r="A48">
        <v>47</v>
      </c>
      <c r="F48" t="s">
        <v>13</v>
      </c>
      <c r="G48" t="s">
        <v>13</v>
      </c>
      <c r="H48" t="s">
        <v>13</v>
      </c>
      <c r="I48" t="s">
        <v>13</v>
      </c>
      <c r="J48" t="s">
        <v>18</v>
      </c>
      <c r="K48" t="s">
        <v>19</v>
      </c>
      <c r="L48" t="str">
        <f t="shared" si="0"/>
        <v>5</v>
      </c>
      <c r="M48">
        <f t="shared" si="1"/>
        <v>5</v>
      </c>
      <c r="N48" t="s">
        <v>81</v>
      </c>
    </row>
    <row r="49" spans="1:14" x14ac:dyDescent="0.35">
      <c r="A49">
        <v>48</v>
      </c>
      <c r="F49" t="s">
        <v>13</v>
      </c>
      <c r="G49" t="s">
        <v>13</v>
      </c>
      <c r="H49" t="s">
        <v>13</v>
      </c>
      <c r="I49" t="s">
        <v>13</v>
      </c>
      <c r="J49" t="s">
        <v>18</v>
      </c>
      <c r="K49" t="s">
        <v>19</v>
      </c>
      <c r="L49" t="str">
        <f t="shared" si="0"/>
        <v>5</v>
      </c>
      <c r="M49">
        <f t="shared" si="1"/>
        <v>5</v>
      </c>
      <c r="N49" t="s">
        <v>82</v>
      </c>
    </row>
    <row r="50" spans="1:14" x14ac:dyDescent="0.35">
      <c r="A50">
        <v>49</v>
      </c>
      <c r="F50" t="s">
        <v>13</v>
      </c>
      <c r="G50" t="s">
        <v>13</v>
      </c>
      <c r="H50" t="s">
        <v>24</v>
      </c>
      <c r="I50" t="s">
        <v>13</v>
      </c>
      <c r="J50" t="s">
        <v>84</v>
      </c>
      <c r="K50" t="s">
        <v>16</v>
      </c>
      <c r="L50" t="str">
        <f t="shared" si="0"/>
        <v>3</v>
      </c>
      <c r="M50">
        <f t="shared" si="1"/>
        <v>3</v>
      </c>
      <c r="N50" t="s">
        <v>83</v>
      </c>
    </row>
    <row r="51" spans="1:14" x14ac:dyDescent="0.35">
      <c r="A51">
        <v>50</v>
      </c>
      <c r="F51" t="s">
        <v>13</v>
      </c>
      <c r="G51" t="s">
        <v>13</v>
      </c>
      <c r="H51" t="s">
        <v>13</v>
      </c>
      <c r="I51" t="s">
        <v>41</v>
      </c>
      <c r="J51" t="s">
        <v>18</v>
      </c>
      <c r="K51" t="s">
        <v>22</v>
      </c>
      <c r="L51" t="str">
        <f t="shared" si="0"/>
        <v>4</v>
      </c>
      <c r="M51">
        <f t="shared" si="1"/>
        <v>4</v>
      </c>
      <c r="N51" t="s">
        <v>85</v>
      </c>
    </row>
    <row r="52" spans="1:14" x14ac:dyDescent="0.35">
      <c r="A52">
        <v>51</v>
      </c>
      <c r="F52" t="s">
        <v>13</v>
      </c>
      <c r="G52" t="s">
        <v>13</v>
      </c>
      <c r="H52" t="s">
        <v>13</v>
      </c>
      <c r="I52" t="s">
        <v>13</v>
      </c>
      <c r="J52" t="s">
        <v>77</v>
      </c>
      <c r="K52" t="s">
        <v>22</v>
      </c>
      <c r="L52" t="str">
        <f t="shared" si="0"/>
        <v>4</v>
      </c>
      <c r="M52">
        <f t="shared" si="1"/>
        <v>4</v>
      </c>
      <c r="N52" t="s">
        <v>86</v>
      </c>
    </row>
    <row r="53" spans="1:14" x14ac:dyDescent="0.35">
      <c r="A53">
        <v>52</v>
      </c>
      <c r="F53" t="s">
        <v>13</v>
      </c>
      <c r="G53" t="s">
        <v>13</v>
      </c>
      <c r="H53" t="s">
        <v>13</v>
      </c>
      <c r="I53" t="s">
        <v>24</v>
      </c>
      <c r="J53" t="s">
        <v>36</v>
      </c>
      <c r="K53" t="s">
        <v>16</v>
      </c>
      <c r="L53" t="str">
        <f t="shared" si="0"/>
        <v>3</v>
      </c>
      <c r="M53">
        <f t="shared" si="1"/>
        <v>3</v>
      </c>
      <c r="N53" t="s">
        <v>87</v>
      </c>
    </row>
    <row r="54" spans="1:14" x14ac:dyDescent="0.35">
      <c r="A54">
        <v>53</v>
      </c>
      <c r="F54" t="s">
        <v>13</v>
      </c>
      <c r="G54" t="s">
        <v>13</v>
      </c>
      <c r="H54" t="s">
        <v>13</v>
      </c>
      <c r="I54" t="s">
        <v>13</v>
      </c>
      <c r="J54" t="s">
        <v>89</v>
      </c>
      <c r="K54" t="s">
        <v>22</v>
      </c>
      <c r="L54" t="str">
        <f t="shared" si="0"/>
        <v>4</v>
      </c>
      <c r="M54">
        <f t="shared" si="1"/>
        <v>4</v>
      </c>
      <c r="N54" t="s">
        <v>88</v>
      </c>
    </row>
    <row r="55" spans="1:14" x14ac:dyDescent="0.35">
      <c r="A55">
        <v>54</v>
      </c>
      <c r="F55" t="s">
        <v>13</v>
      </c>
      <c r="G55" t="s">
        <v>14</v>
      </c>
      <c r="H55" t="s">
        <v>14</v>
      </c>
      <c r="I55" t="s">
        <v>14</v>
      </c>
      <c r="J55" t="s">
        <v>14</v>
      </c>
      <c r="K55" t="s">
        <v>91</v>
      </c>
      <c r="L55" t="str">
        <f t="shared" si="0"/>
        <v>1</v>
      </c>
      <c r="M55">
        <f t="shared" si="1"/>
        <v>1</v>
      </c>
      <c r="N55" t="s">
        <v>90</v>
      </c>
    </row>
    <row r="56" spans="1:14" x14ac:dyDescent="0.35">
      <c r="A56">
        <v>55</v>
      </c>
      <c r="F56" t="s">
        <v>14</v>
      </c>
      <c r="G56" t="s">
        <v>14</v>
      </c>
      <c r="H56" t="s">
        <v>14</v>
      </c>
      <c r="I56" t="s">
        <v>14</v>
      </c>
      <c r="J56" t="s">
        <v>36</v>
      </c>
      <c r="K56" t="s">
        <v>75</v>
      </c>
      <c r="L56" t="str">
        <f t="shared" si="0"/>
        <v>0</v>
      </c>
      <c r="M56">
        <f t="shared" si="1"/>
        <v>0</v>
      </c>
      <c r="N56" t="s">
        <v>92</v>
      </c>
    </row>
    <row r="57" spans="1:14" x14ac:dyDescent="0.35">
      <c r="A57">
        <v>56</v>
      </c>
      <c r="F57" t="s">
        <v>13</v>
      </c>
      <c r="G57" t="s">
        <v>13</v>
      </c>
      <c r="H57" t="s">
        <v>13</v>
      </c>
      <c r="I57" t="s">
        <v>13</v>
      </c>
      <c r="J57" t="s">
        <v>21</v>
      </c>
      <c r="K57" t="s">
        <v>22</v>
      </c>
      <c r="L57" t="str">
        <f t="shared" si="0"/>
        <v>4</v>
      </c>
      <c r="M57">
        <f t="shared" si="1"/>
        <v>4</v>
      </c>
      <c r="N57" t="s">
        <v>93</v>
      </c>
    </row>
    <row r="58" spans="1:14" x14ac:dyDescent="0.35">
      <c r="A58">
        <v>57</v>
      </c>
      <c r="F58" t="s">
        <v>13</v>
      </c>
      <c r="G58" t="s">
        <v>13</v>
      </c>
      <c r="H58" t="s">
        <v>13</v>
      </c>
      <c r="I58" t="s">
        <v>13</v>
      </c>
      <c r="J58" t="s">
        <v>36</v>
      </c>
      <c r="K58" t="s">
        <v>22</v>
      </c>
      <c r="L58" t="str">
        <f t="shared" si="0"/>
        <v>4</v>
      </c>
      <c r="M58">
        <f t="shared" si="1"/>
        <v>4</v>
      </c>
      <c r="N58" t="s">
        <v>94</v>
      </c>
    </row>
    <row r="59" spans="1:14" x14ac:dyDescent="0.35">
      <c r="A59">
        <v>58</v>
      </c>
      <c r="F59" t="s">
        <v>13</v>
      </c>
      <c r="G59" t="s">
        <v>13</v>
      </c>
      <c r="H59" t="s">
        <v>13</v>
      </c>
      <c r="I59" t="s">
        <v>24</v>
      </c>
      <c r="J59" t="s">
        <v>36</v>
      </c>
      <c r="K59" t="s">
        <v>16</v>
      </c>
      <c r="L59" t="str">
        <f t="shared" si="0"/>
        <v>3</v>
      </c>
      <c r="M59">
        <f t="shared" si="1"/>
        <v>3</v>
      </c>
      <c r="N59" t="s">
        <v>95</v>
      </c>
    </row>
    <row r="60" spans="1:14" x14ac:dyDescent="0.35">
      <c r="A60">
        <v>59</v>
      </c>
      <c r="F60" t="s">
        <v>13</v>
      </c>
      <c r="G60" t="s">
        <v>13</v>
      </c>
      <c r="H60" t="s">
        <v>13</v>
      </c>
      <c r="I60" t="s">
        <v>24</v>
      </c>
      <c r="J60" t="s">
        <v>14</v>
      </c>
      <c r="K60" t="s">
        <v>16</v>
      </c>
      <c r="L60" t="str">
        <f t="shared" si="0"/>
        <v>3</v>
      </c>
      <c r="M60">
        <f t="shared" si="1"/>
        <v>3</v>
      </c>
      <c r="N60" t="s">
        <v>96</v>
      </c>
    </row>
    <row r="61" spans="1:14" x14ac:dyDescent="0.35">
      <c r="A61">
        <v>60</v>
      </c>
      <c r="F61" t="s">
        <v>14</v>
      </c>
      <c r="G61" t="s">
        <v>13</v>
      </c>
      <c r="H61" t="s">
        <v>13</v>
      </c>
      <c r="I61" t="s">
        <v>13</v>
      </c>
      <c r="J61" t="s">
        <v>18</v>
      </c>
      <c r="K61" t="s">
        <v>22</v>
      </c>
      <c r="L61" t="str">
        <f t="shared" si="0"/>
        <v>4</v>
      </c>
      <c r="M61">
        <f t="shared" si="1"/>
        <v>4</v>
      </c>
      <c r="N61" t="s">
        <v>97</v>
      </c>
    </row>
    <row r="62" spans="1:14" x14ac:dyDescent="0.35">
      <c r="A62">
        <v>61</v>
      </c>
      <c r="F62" t="s">
        <v>13</v>
      </c>
      <c r="G62" t="s">
        <v>13</v>
      </c>
      <c r="H62" t="s">
        <v>24</v>
      </c>
      <c r="I62" t="s">
        <v>14</v>
      </c>
      <c r="J62" t="s">
        <v>99</v>
      </c>
      <c r="K62" t="s">
        <v>42</v>
      </c>
      <c r="L62" t="str">
        <f t="shared" si="0"/>
        <v>2</v>
      </c>
      <c r="M62">
        <f t="shared" si="1"/>
        <v>2</v>
      </c>
      <c r="N62" t="s">
        <v>98</v>
      </c>
    </row>
    <row r="63" spans="1:14" x14ac:dyDescent="0.35">
      <c r="A63">
        <v>62</v>
      </c>
      <c r="F63" t="s">
        <v>13</v>
      </c>
      <c r="G63" t="s">
        <v>13</v>
      </c>
      <c r="H63" t="s">
        <v>24</v>
      </c>
      <c r="I63" t="s">
        <v>41</v>
      </c>
      <c r="J63" t="s">
        <v>36</v>
      </c>
      <c r="K63" t="s">
        <v>42</v>
      </c>
      <c r="L63" t="str">
        <f t="shared" si="0"/>
        <v>2</v>
      </c>
      <c r="M63">
        <f t="shared" si="1"/>
        <v>2</v>
      </c>
      <c r="N63" t="s">
        <v>100</v>
      </c>
    </row>
    <row r="64" spans="1:14" x14ac:dyDescent="0.35">
      <c r="A64">
        <v>63</v>
      </c>
      <c r="F64" t="s">
        <v>14</v>
      </c>
      <c r="G64" t="s">
        <v>13</v>
      </c>
      <c r="H64" t="s">
        <v>13</v>
      </c>
      <c r="I64" t="s">
        <v>14</v>
      </c>
      <c r="J64" t="s">
        <v>14</v>
      </c>
      <c r="K64" t="s">
        <v>42</v>
      </c>
      <c r="L64" t="str">
        <f t="shared" si="0"/>
        <v>2</v>
      </c>
      <c r="M64">
        <f t="shared" si="1"/>
        <v>2</v>
      </c>
      <c r="N64" t="s">
        <v>101</v>
      </c>
    </row>
    <row r="65" spans="1:14" x14ac:dyDescent="0.35">
      <c r="A65">
        <v>64</v>
      </c>
      <c r="F65" t="s">
        <v>13</v>
      </c>
      <c r="G65" t="s">
        <v>13</v>
      </c>
      <c r="H65" t="s">
        <v>13</v>
      </c>
      <c r="I65" t="s">
        <v>14</v>
      </c>
      <c r="J65" t="s">
        <v>99</v>
      </c>
      <c r="K65" t="s">
        <v>16</v>
      </c>
      <c r="L65" t="str">
        <f t="shared" si="0"/>
        <v>3</v>
      </c>
      <c r="M65">
        <f t="shared" si="1"/>
        <v>3</v>
      </c>
      <c r="N65" t="s">
        <v>102</v>
      </c>
    </row>
    <row r="66" spans="1:14" x14ac:dyDescent="0.35">
      <c r="A66">
        <v>65</v>
      </c>
      <c r="F66" t="s">
        <v>13</v>
      </c>
      <c r="G66" t="s">
        <v>13</v>
      </c>
      <c r="H66" t="s">
        <v>13</v>
      </c>
      <c r="I66" t="s">
        <v>14</v>
      </c>
      <c r="J66" t="s">
        <v>104</v>
      </c>
      <c r="K66" t="s">
        <v>16</v>
      </c>
      <c r="L66" t="str">
        <f t="shared" si="0"/>
        <v>3</v>
      </c>
      <c r="M66">
        <f t="shared" si="1"/>
        <v>3</v>
      </c>
      <c r="N66" t="s">
        <v>103</v>
      </c>
    </row>
    <row r="67" spans="1:14" x14ac:dyDescent="0.35">
      <c r="A67" t="s">
        <v>12</v>
      </c>
      <c r="B67" t="s">
        <v>105</v>
      </c>
      <c r="C67" t="s">
        <v>12</v>
      </c>
      <c r="D67" t="s">
        <v>12</v>
      </c>
      <c r="E67" t="s">
        <v>12</v>
      </c>
      <c r="F67" t="s">
        <v>106</v>
      </c>
      <c r="G67" t="s">
        <v>107</v>
      </c>
      <c r="H67" t="s">
        <v>108</v>
      </c>
      <c r="I67" t="s">
        <v>109</v>
      </c>
      <c r="J67" t="s">
        <v>110</v>
      </c>
      <c r="K67" t="s">
        <v>111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baseColWidth="10" defaultColWidth="8.7265625" defaultRowHeight="14.5" x14ac:dyDescent="0.35"/>
  <cols>
    <col min="1" max="1" width="75" customWidth="1"/>
    <col min="2" max="2" width="18" customWidth="1"/>
    <col min="3" max="3" width="10" customWidth="1"/>
    <col min="4" max="4" width="15" customWidth="1"/>
  </cols>
  <sheetData>
    <row r="1" spans="1:4" x14ac:dyDescent="0.35">
      <c r="A1" t="s">
        <v>112</v>
      </c>
    </row>
    <row r="3" spans="1:4" x14ac:dyDescent="0.35">
      <c r="A3" t="s">
        <v>113</v>
      </c>
      <c r="B3" t="s">
        <v>114</v>
      </c>
      <c r="C3" t="s">
        <v>115</v>
      </c>
      <c r="D3" t="s">
        <v>116</v>
      </c>
    </row>
    <row r="4" spans="1:4" x14ac:dyDescent="0.35">
      <c r="A4" t="s">
        <v>12</v>
      </c>
      <c r="B4">
        <v>0</v>
      </c>
      <c r="C4">
        <v>0</v>
      </c>
      <c r="D4" t="s">
        <v>12</v>
      </c>
    </row>
    <row r="5" spans="1:4" x14ac:dyDescent="0.35">
      <c r="A5" t="s">
        <v>12</v>
      </c>
      <c r="B5">
        <v>61</v>
      </c>
      <c r="C5">
        <v>100</v>
      </c>
      <c r="D5" t="s">
        <v>12</v>
      </c>
    </row>
    <row r="6" spans="1:4" x14ac:dyDescent="0.35">
      <c r="A6" t="s">
        <v>12</v>
      </c>
      <c r="B6">
        <v>0</v>
      </c>
      <c r="C6">
        <v>0</v>
      </c>
      <c r="D6" t="s">
        <v>12</v>
      </c>
    </row>
    <row r="7" spans="1:4" x14ac:dyDescent="0.35">
      <c r="A7" t="s">
        <v>12</v>
      </c>
      <c r="B7">
        <v>0</v>
      </c>
      <c r="C7">
        <v>0</v>
      </c>
      <c r="D7" t="s">
        <v>12</v>
      </c>
    </row>
    <row r="10" spans="1:4" x14ac:dyDescent="0.35">
      <c r="A10" t="s">
        <v>117</v>
      </c>
      <c r="B10">
        <v>66</v>
      </c>
      <c r="C10" t="s">
        <v>118</v>
      </c>
    </row>
    <row r="11" spans="1:4" x14ac:dyDescent="0.35">
      <c r="A11" t="s">
        <v>119</v>
      </c>
      <c r="B11">
        <v>61</v>
      </c>
      <c r="C11" t="s">
        <v>120</v>
      </c>
    </row>
    <row r="12" spans="1:4" x14ac:dyDescent="0.35">
      <c r="A12" t="s">
        <v>121</v>
      </c>
      <c r="B12">
        <v>61</v>
      </c>
      <c r="C12" t="s">
        <v>118</v>
      </c>
    </row>
    <row r="13" spans="1:4" x14ac:dyDescent="0.35">
      <c r="A13" t="s">
        <v>122</v>
      </c>
      <c r="B13">
        <v>61</v>
      </c>
      <c r="C13" t="s">
        <v>120</v>
      </c>
    </row>
    <row r="15" spans="1:4" x14ac:dyDescent="0.35">
      <c r="A15" t="s">
        <v>123</v>
      </c>
      <c r="B15">
        <v>1</v>
      </c>
      <c r="C15" t="s">
        <v>118</v>
      </c>
    </row>
    <row r="16" spans="1:4" x14ac:dyDescent="0.35">
      <c r="A16" t="s">
        <v>124</v>
      </c>
      <c r="B16">
        <v>1</v>
      </c>
      <c r="C16" t="s">
        <v>118</v>
      </c>
    </row>
    <row r="17" spans="1:3" x14ac:dyDescent="0.35">
      <c r="A17" t="s">
        <v>125</v>
      </c>
      <c r="B17">
        <v>0.92</v>
      </c>
      <c r="C17" t="s">
        <v>120</v>
      </c>
    </row>
    <row r="20" spans="1:3" x14ac:dyDescent="0.35">
      <c r="A20" t="s">
        <v>126</v>
      </c>
      <c r="B20">
        <v>0</v>
      </c>
    </row>
    <row r="21" spans="1:3" x14ac:dyDescent="0.35">
      <c r="A21" t="s">
        <v>127</v>
      </c>
      <c r="B21">
        <v>61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baseColWidth="10" defaultColWidth="8.7265625" defaultRowHeight="14.5" x14ac:dyDescent="0.35"/>
  <cols>
    <col min="1" max="1" width="75" customWidth="1"/>
    <col min="2" max="2" width="18" customWidth="1"/>
    <col min="3" max="3" width="10" customWidth="1"/>
    <col min="4" max="4" width="15" customWidth="1"/>
  </cols>
  <sheetData>
    <row r="1" spans="1:4" x14ac:dyDescent="0.35">
      <c r="A1" t="s">
        <v>128</v>
      </c>
    </row>
    <row r="3" spans="1:4" x14ac:dyDescent="0.35">
      <c r="A3" t="s">
        <v>113</v>
      </c>
      <c r="B3" t="s">
        <v>114</v>
      </c>
      <c r="C3" t="s">
        <v>115</v>
      </c>
      <c r="D3" t="s">
        <v>116</v>
      </c>
    </row>
    <row r="4" spans="1:4" x14ac:dyDescent="0.35">
      <c r="A4" t="s">
        <v>12</v>
      </c>
      <c r="B4">
        <v>0</v>
      </c>
      <c r="C4">
        <v>0</v>
      </c>
      <c r="D4" t="s">
        <v>12</v>
      </c>
    </row>
    <row r="5" spans="1:4" x14ac:dyDescent="0.35">
      <c r="A5" t="s">
        <v>12</v>
      </c>
      <c r="B5">
        <v>62</v>
      </c>
      <c r="C5">
        <v>100</v>
      </c>
      <c r="D5" t="s">
        <v>12</v>
      </c>
    </row>
    <row r="6" spans="1:4" x14ac:dyDescent="0.35">
      <c r="A6" t="s">
        <v>12</v>
      </c>
      <c r="B6">
        <v>0</v>
      </c>
      <c r="C6">
        <v>0</v>
      </c>
      <c r="D6" t="s">
        <v>12</v>
      </c>
    </row>
    <row r="9" spans="1:4" x14ac:dyDescent="0.35">
      <c r="A9" t="s">
        <v>117</v>
      </c>
      <c r="B9">
        <v>66</v>
      </c>
      <c r="C9" t="s">
        <v>118</v>
      </c>
    </row>
    <row r="10" spans="1:4" x14ac:dyDescent="0.35">
      <c r="A10" t="s">
        <v>119</v>
      </c>
      <c r="B10">
        <v>62</v>
      </c>
      <c r="C10" t="s">
        <v>129</v>
      </c>
    </row>
    <row r="11" spans="1:4" x14ac:dyDescent="0.35">
      <c r="A11" t="s">
        <v>121</v>
      </c>
      <c r="B11">
        <v>62</v>
      </c>
      <c r="C11" t="s">
        <v>118</v>
      </c>
    </row>
    <row r="12" spans="1:4" x14ac:dyDescent="0.35">
      <c r="A12" t="s">
        <v>122</v>
      </c>
      <c r="B12">
        <v>62</v>
      </c>
      <c r="C12" t="s">
        <v>129</v>
      </c>
    </row>
    <row r="14" spans="1:4" x14ac:dyDescent="0.35">
      <c r="A14" t="s">
        <v>123</v>
      </c>
      <c r="B14">
        <v>1</v>
      </c>
      <c r="C14" t="s">
        <v>118</v>
      </c>
    </row>
    <row r="15" spans="1:4" x14ac:dyDescent="0.35">
      <c r="A15" t="s">
        <v>124</v>
      </c>
      <c r="B15">
        <v>1</v>
      </c>
      <c r="C15" t="s">
        <v>118</v>
      </c>
    </row>
    <row r="16" spans="1:4" x14ac:dyDescent="0.35">
      <c r="A16" t="s">
        <v>125</v>
      </c>
      <c r="B16">
        <v>0.94</v>
      </c>
      <c r="C16" t="s">
        <v>129</v>
      </c>
    </row>
    <row r="19" spans="1:2" x14ac:dyDescent="0.35">
      <c r="A19" t="s">
        <v>126</v>
      </c>
      <c r="B19">
        <v>0</v>
      </c>
    </row>
    <row r="20" spans="1:2" x14ac:dyDescent="0.35">
      <c r="A20" t="s">
        <v>127</v>
      </c>
      <c r="B20">
        <v>62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baseColWidth="10" defaultColWidth="8.7265625" defaultRowHeight="14.5" x14ac:dyDescent="0.35"/>
  <cols>
    <col min="1" max="1" width="75" customWidth="1"/>
    <col min="2" max="2" width="18" customWidth="1"/>
    <col min="3" max="3" width="10" customWidth="1"/>
    <col min="4" max="4" width="15" customWidth="1"/>
  </cols>
  <sheetData>
    <row r="1" spans="1:4" x14ac:dyDescent="0.35">
      <c r="A1" t="s">
        <v>130</v>
      </c>
    </row>
    <row r="3" spans="1:4" x14ac:dyDescent="0.35">
      <c r="A3" t="s">
        <v>113</v>
      </c>
      <c r="B3" t="s">
        <v>114</v>
      </c>
      <c r="C3" t="s">
        <v>115</v>
      </c>
      <c r="D3" t="s">
        <v>116</v>
      </c>
    </row>
    <row r="4" spans="1:4" x14ac:dyDescent="0.35">
      <c r="A4" t="s">
        <v>12</v>
      </c>
      <c r="B4">
        <v>0</v>
      </c>
      <c r="C4">
        <v>0</v>
      </c>
      <c r="D4" t="s">
        <v>12</v>
      </c>
    </row>
    <row r="5" spans="1:4" x14ac:dyDescent="0.35">
      <c r="A5" t="s">
        <v>12</v>
      </c>
      <c r="B5">
        <v>0</v>
      </c>
      <c r="C5">
        <v>0</v>
      </c>
      <c r="D5" t="s">
        <v>12</v>
      </c>
    </row>
    <row r="6" spans="1:4" x14ac:dyDescent="0.35">
      <c r="A6" t="s">
        <v>12</v>
      </c>
      <c r="B6">
        <v>5</v>
      </c>
      <c r="C6">
        <v>8.33</v>
      </c>
      <c r="D6" t="s">
        <v>12</v>
      </c>
    </row>
    <row r="7" spans="1:4" x14ac:dyDescent="0.35">
      <c r="A7" t="s">
        <v>12</v>
      </c>
      <c r="B7">
        <v>3</v>
      </c>
      <c r="C7">
        <v>5</v>
      </c>
      <c r="D7" t="s">
        <v>12</v>
      </c>
    </row>
    <row r="8" spans="1:4" x14ac:dyDescent="0.35">
      <c r="A8" t="s">
        <v>12</v>
      </c>
      <c r="B8">
        <v>52</v>
      </c>
      <c r="C8">
        <v>86.67</v>
      </c>
      <c r="D8" t="s">
        <v>12</v>
      </c>
    </row>
    <row r="9" spans="1:4" x14ac:dyDescent="0.35">
      <c r="A9" t="s">
        <v>12</v>
      </c>
      <c r="B9">
        <v>0</v>
      </c>
      <c r="C9">
        <v>0</v>
      </c>
      <c r="D9" t="s">
        <v>12</v>
      </c>
    </row>
    <row r="12" spans="1:4" x14ac:dyDescent="0.35">
      <c r="A12" t="s">
        <v>117</v>
      </c>
      <c r="B12">
        <v>66</v>
      </c>
      <c r="C12" t="s">
        <v>118</v>
      </c>
    </row>
    <row r="13" spans="1:4" x14ac:dyDescent="0.35">
      <c r="A13" t="s">
        <v>119</v>
      </c>
      <c r="B13">
        <v>60</v>
      </c>
      <c r="C13" t="s">
        <v>131</v>
      </c>
    </row>
    <row r="14" spans="1:4" x14ac:dyDescent="0.35">
      <c r="A14" t="s">
        <v>121</v>
      </c>
      <c r="B14">
        <v>52</v>
      </c>
      <c r="C14" t="s">
        <v>132</v>
      </c>
    </row>
    <row r="15" spans="1:4" x14ac:dyDescent="0.35">
      <c r="A15" t="s">
        <v>122</v>
      </c>
      <c r="B15">
        <v>52</v>
      </c>
      <c r="C15" t="s">
        <v>133</v>
      </c>
    </row>
    <row r="17" spans="1:3" x14ac:dyDescent="0.35">
      <c r="A17" t="s">
        <v>123</v>
      </c>
      <c r="B17">
        <v>1</v>
      </c>
      <c r="C17" t="s">
        <v>118</v>
      </c>
    </row>
    <row r="18" spans="1:3" x14ac:dyDescent="0.35">
      <c r="A18" t="s">
        <v>124</v>
      </c>
      <c r="B18">
        <v>0.87</v>
      </c>
      <c r="C18" t="s">
        <v>132</v>
      </c>
    </row>
    <row r="19" spans="1:3" x14ac:dyDescent="0.35">
      <c r="A19" t="s">
        <v>125</v>
      </c>
      <c r="B19">
        <v>0.79</v>
      </c>
      <c r="C19" t="s">
        <v>133</v>
      </c>
    </row>
    <row r="22" spans="1:3" x14ac:dyDescent="0.35">
      <c r="A22" t="s">
        <v>126</v>
      </c>
      <c r="B22">
        <v>0</v>
      </c>
    </row>
    <row r="23" spans="1:3" x14ac:dyDescent="0.35">
      <c r="A23" t="s">
        <v>127</v>
      </c>
      <c r="B23">
        <v>60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baseColWidth="10" defaultColWidth="8.7265625" defaultRowHeight="14.5" x14ac:dyDescent="0.35"/>
  <cols>
    <col min="1" max="1" width="75" customWidth="1"/>
    <col min="2" max="2" width="18" customWidth="1"/>
    <col min="3" max="3" width="10" customWidth="1"/>
    <col min="4" max="4" width="15" customWidth="1"/>
  </cols>
  <sheetData>
    <row r="1" spans="1:4" x14ac:dyDescent="0.35">
      <c r="A1" t="s">
        <v>134</v>
      </c>
    </row>
    <row r="3" spans="1:4" x14ac:dyDescent="0.35">
      <c r="A3" t="s">
        <v>113</v>
      </c>
      <c r="B3" t="s">
        <v>114</v>
      </c>
      <c r="C3" t="s">
        <v>115</v>
      </c>
      <c r="D3" t="s">
        <v>116</v>
      </c>
    </row>
    <row r="4" spans="1:4" x14ac:dyDescent="0.35">
      <c r="A4" t="s">
        <v>12</v>
      </c>
      <c r="B4">
        <v>1</v>
      </c>
      <c r="C4">
        <v>1.96</v>
      </c>
      <c r="D4" t="s">
        <v>12</v>
      </c>
    </row>
    <row r="5" spans="1:4" x14ac:dyDescent="0.35">
      <c r="A5" t="s">
        <v>12</v>
      </c>
      <c r="B5">
        <v>0</v>
      </c>
      <c r="C5">
        <v>0</v>
      </c>
      <c r="D5" t="s">
        <v>12</v>
      </c>
    </row>
    <row r="6" spans="1:4" x14ac:dyDescent="0.35">
      <c r="A6" t="s">
        <v>12</v>
      </c>
      <c r="B6">
        <v>11</v>
      </c>
      <c r="C6">
        <v>21.57</v>
      </c>
      <c r="D6" t="s">
        <v>12</v>
      </c>
    </row>
    <row r="7" spans="1:4" x14ac:dyDescent="0.35">
      <c r="A7" t="s">
        <v>12</v>
      </c>
      <c r="B7">
        <v>29</v>
      </c>
      <c r="C7">
        <v>56.86</v>
      </c>
      <c r="D7" t="s">
        <v>12</v>
      </c>
    </row>
    <row r="8" spans="1:4" x14ac:dyDescent="0.35">
      <c r="A8" t="s">
        <v>135</v>
      </c>
      <c r="B8">
        <v>10</v>
      </c>
      <c r="C8">
        <v>19.61</v>
      </c>
      <c r="D8" t="s">
        <v>12</v>
      </c>
    </row>
    <row r="11" spans="1:4" x14ac:dyDescent="0.35">
      <c r="A11" t="s">
        <v>117</v>
      </c>
      <c r="B11">
        <v>66</v>
      </c>
      <c r="C11" t="s">
        <v>118</v>
      </c>
    </row>
    <row r="12" spans="1:4" x14ac:dyDescent="0.35">
      <c r="A12" t="s">
        <v>119</v>
      </c>
      <c r="B12">
        <v>51</v>
      </c>
      <c r="C12" t="s">
        <v>136</v>
      </c>
    </row>
    <row r="13" spans="1:4" x14ac:dyDescent="0.35">
      <c r="A13" t="s">
        <v>121</v>
      </c>
      <c r="B13">
        <v>29</v>
      </c>
      <c r="C13" t="s">
        <v>137</v>
      </c>
    </row>
    <row r="14" spans="1:4" x14ac:dyDescent="0.35">
      <c r="A14" t="s">
        <v>122</v>
      </c>
      <c r="B14">
        <v>29</v>
      </c>
      <c r="C14" t="s">
        <v>138</v>
      </c>
    </row>
    <row r="16" spans="1:4" x14ac:dyDescent="0.35">
      <c r="A16" t="s">
        <v>123</v>
      </c>
      <c r="B16">
        <v>1</v>
      </c>
      <c r="C16" t="s">
        <v>118</v>
      </c>
    </row>
    <row r="17" spans="1:3" x14ac:dyDescent="0.35">
      <c r="A17" t="s">
        <v>124</v>
      </c>
      <c r="B17">
        <v>0.56999999999999995</v>
      </c>
      <c r="C17" t="s">
        <v>137</v>
      </c>
    </row>
    <row r="18" spans="1:3" x14ac:dyDescent="0.35">
      <c r="A18" t="s">
        <v>125</v>
      </c>
      <c r="B18">
        <v>0.44</v>
      </c>
      <c r="C18" t="s">
        <v>138</v>
      </c>
    </row>
    <row r="21" spans="1:3" x14ac:dyDescent="0.35">
      <c r="A21" t="s">
        <v>126</v>
      </c>
      <c r="B21">
        <v>0</v>
      </c>
    </row>
    <row r="22" spans="1:3" x14ac:dyDescent="0.35">
      <c r="A22" t="s">
        <v>127</v>
      </c>
      <c r="B22">
        <v>51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workbookViewId="0"/>
  </sheetViews>
  <sheetFormatPr baseColWidth="10" defaultColWidth="8.7265625" defaultRowHeight="14.5" x14ac:dyDescent="0.35"/>
  <cols>
    <col min="1" max="1" width="75" customWidth="1"/>
    <col min="2" max="3" width="10" customWidth="1"/>
  </cols>
  <sheetData>
    <row r="1" spans="1:1" x14ac:dyDescent="0.35">
      <c r="A1" t="s">
        <v>139</v>
      </c>
    </row>
    <row r="3" spans="1:1" x14ac:dyDescent="0.35">
      <c r="A3" t="s">
        <v>140</v>
      </c>
    </row>
    <row r="4" spans="1:1" x14ac:dyDescent="0.35">
      <c r="A4" t="s">
        <v>141</v>
      </c>
    </row>
    <row r="5" spans="1:1" x14ac:dyDescent="0.35">
      <c r="A5" t="s">
        <v>142</v>
      </c>
    </row>
    <row r="6" spans="1:1" x14ac:dyDescent="0.35">
      <c r="A6" t="s">
        <v>141</v>
      </c>
    </row>
    <row r="7" spans="1:1" x14ac:dyDescent="0.35">
      <c r="A7" t="s">
        <v>141</v>
      </c>
    </row>
    <row r="8" spans="1:1" x14ac:dyDescent="0.35">
      <c r="A8" t="s">
        <v>143</v>
      </c>
    </row>
    <row r="9" spans="1:1" x14ac:dyDescent="0.35">
      <c r="A9" t="s">
        <v>141</v>
      </c>
    </row>
    <row r="10" spans="1:1" x14ac:dyDescent="0.35">
      <c r="A10" t="s">
        <v>143</v>
      </c>
    </row>
    <row r="11" spans="1:1" x14ac:dyDescent="0.35">
      <c r="A11" t="s">
        <v>143</v>
      </c>
    </row>
    <row r="12" spans="1:1" x14ac:dyDescent="0.35">
      <c r="A12" t="s">
        <v>143</v>
      </c>
    </row>
    <row r="13" spans="1:1" x14ac:dyDescent="0.35">
      <c r="A13" t="s">
        <v>143</v>
      </c>
    </row>
    <row r="14" spans="1:1" x14ac:dyDescent="0.35">
      <c r="A14" t="s">
        <v>143</v>
      </c>
    </row>
    <row r="15" spans="1:1" x14ac:dyDescent="0.35">
      <c r="A15" t="s">
        <v>141</v>
      </c>
    </row>
    <row r="16" spans="1:1" x14ac:dyDescent="0.35">
      <c r="A16" t="s">
        <v>143</v>
      </c>
    </row>
    <row r="17" spans="1:1" x14ac:dyDescent="0.35">
      <c r="A17" t="s">
        <v>141</v>
      </c>
    </row>
    <row r="18" spans="1:1" x14ac:dyDescent="0.35">
      <c r="A18" t="s">
        <v>141</v>
      </c>
    </row>
    <row r="19" spans="1:1" x14ac:dyDescent="0.35">
      <c r="A19" t="s">
        <v>143</v>
      </c>
    </row>
    <row r="20" spans="1:1" x14ac:dyDescent="0.35">
      <c r="A20" t="s">
        <v>144</v>
      </c>
    </row>
    <row r="21" spans="1:1" x14ac:dyDescent="0.35">
      <c r="A21" t="s">
        <v>142</v>
      </c>
    </row>
    <row r="22" spans="1:1" x14ac:dyDescent="0.35">
      <c r="A22" t="s">
        <v>145</v>
      </c>
    </row>
    <row r="23" spans="1:1" x14ac:dyDescent="0.35">
      <c r="A23" t="s">
        <v>143</v>
      </c>
    </row>
    <row r="24" spans="1:1" x14ac:dyDescent="0.35">
      <c r="A24" t="s">
        <v>143</v>
      </c>
    </row>
    <row r="25" spans="1:1" x14ac:dyDescent="0.35">
      <c r="A25" t="s">
        <v>145</v>
      </c>
    </row>
    <row r="26" spans="1:1" x14ac:dyDescent="0.35">
      <c r="A26" t="s">
        <v>144</v>
      </c>
    </row>
    <row r="27" spans="1:1" x14ac:dyDescent="0.35">
      <c r="A27" t="s">
        <v>143</v>
      </c>
    </row>
    <row r="28" spans="1:1" x14ac:dyDescent="0.35">
      <c r="A28" t="s">
        <v>143</v>
      </c>
    </row>
    <row r="29" spans="1:1" x14ac:dyDescent="0.35">
      <c r="A29" t="s">
        <v>141</v>
      </c>
    </row>
    <row r="30" spans="1:1" x14ac:dyDescent="0.35">
      <c r="A30" t="s">
        <v>144</v>
      </c>
    </row>
    <row r="31" spans="1:1" x14ac:dyDescent="0.35">
      <c r="A31" t="s">
        <v>141</v>
      </c>
    </row>
    <row r="32" spans="1:1" x14ac:dyDescent="0.35">
      <c r="A32" t="s">
        <v>141</v>
      </c>
    </row>
    <row r="33" spans="1:1" x14ac:dyDescent="0.35">
      <c r="A33" t="s">
        <v>143</v>
      </c>
    </row>
    <row r="34" spans="1:1" x14ac:dyDescent="0.35">
      <c r="A34" t="s">
        <v>144</v>
      </c>
    </row>
    <row r="35" spans="1:1" x14ac:dyDescent="0.35">
      <c r="A35" t="s">
        <v>143</v>
      </c>
    </row>
    <row r="36" spans="1:1" x14ac:dyDescent="0.35">
      <c r="A36" t="s">
        <v>143</v>
      </c>
    </row>
    <row r="37" spans="1:1" x14ac:dyDescent="0.35">
      <c r="A37" t="s">
        <v>143</v>
      </c>
    </row>
    <row r="38" spans="1:1" x14ac:dyDescent="0.35">
      <c r="A38" t="s">
        <v>146</v>
      </c>
    </row>
    <row r="39" spans="1:1" x14ac:dyDescent="0.35">
      <c r="A39" t="s">
        <v>143</v>
      </c>
    </row>
    <row r="40" spans="1:1" x14ac:dyDescent="0.35">
      <c r="A40" t="s">
        <v>143</v>
      </c>
    </row>
    <row r="41" spans="1:1" x14ac:dyDescent="0.35">
      <c r="A41" t="s">
        <v>143</v>
      </c>
    </row>
    <row r="42" spans="1:1" x14ac:dyDescent="0.35">
      <c r="A42" t="s">
        <v>143</v>
      </c>
    </row>
    <row r="43" spans="1:1" x14ac:dyDescent="0.35">
      <c r="A43" t="s">
        <v>141</v>
      </c>
    </row>
    <row r="44" spans="1:1" x14ac:dyDescent="0.35">
      <c r="A44" t="s">
        <v>144</v>
      </c>
    </row>
    <row r="45" spans="1:1" x14ac:dyDescent="0.35">
      <c r="A45" t="s">
        <v>142</v>
      </c>
    </row>
    <row r="46" spans="1:1" x14ac:dyDescent="0.35">
      <c r="A46" t="s">
        <v>141</v>
      </c>
    </row>
    <row r="47" spans="1:1" x14ac:dyDescent="0.35">
      <c r="A47" t="s">
        <v>145</v>
      </c>
    </row>
    <row r="48" spans="1:1" x14ac:dyDescent="0.35">
      <c r="A48" t="s">
        <v>147</v>
      </c>
    </row>
    <row r="49" spans="1:1" x14ac:dyDescent="0.35">
      <c r="A49" t="s">
        <v>144</v>
      </c>
    </row>
    <row r="50" spans="1:1" x14ac:dyDescent="0.35">
      <c r="A50" t="s">
        <v>141</v>
      </c>
    </row>
    <row r="51" spans="1:1" x14ac:dyDescent="0.35">
      <c r="A51" t="s">
        <v>143</v>
      </c>
    </row>
    <row r="52" spans="1:1" x14ac:dyDescent="0.35">
      <c r="A52" t="s">
        <v>144</v>
      </c>
    </row>
    <row r="53" spans="1:1" x14ac:dyDescent="0.35">
      <c r="A53" t="s">
        <v>143</v>
      </c>
    </row>
    <row r="54" spans="1:1" x14ac:dyDescent="0.35">
      <c r="A54" t="s">
        <v>148</v>
      </c>
    </row>
    <row r="55" spans="1:1" x14ac:dyDescent="0.35">
      <c r="A55" t="s">
        <v>143</v>
      </c>
    </row>
    <row r="56" spans="1:1" x14ac:dyDescent="0.35">
      <c r="A56" t="s">
        <v>144</v>
      </c>
    </row>
    <row r="57" spans="1:1" x14ac:dyDescent="0.35">
      <c r="A57" t="s">
        <v>143</v>
      </c>
    </row>
    <row r="58" spans="1:1" x14ac:dyDescent="0.35">
      <c r="A58" t="s">
        <v>143</v>
      </c>
    </row>
    <row r="59" spans="1:1" x14ac:dyDescent="0.35">
      <c r="A59" t="s">
        <v>149</v>
      </c>
    </row>
    <row r="60" spans="1:1" x14ac:dyDescent="0.35">
      <c r="A60" t="s">
        <v>141</v>
      </c>
    </row>
    <row r="61" spans="1:1" x14ac:dyDescent="0.35">
      <c r="A61" t="s">
        <v>150</v>
      </c>
    </row>
    <row r="62" spans="1:1" x14ac:dyDescent="0.35">
      <c r="A62" t="s">
        <v>145</v>
      </c>
    </row>
    <row r="63" spans="1:1" x14ac:dyDescent="0.35">
      <c r="A63" t="s">
        <v>149</v>
      </c>
    </row>
    <row r="64" spans="1:1" x14ac:dyDescent="0.35">
      <c r="A64" t="s">
        <v>145</v>
      </c>
    </row>
    <row r="65" spans="1:3" x14ac:dyDescent="0.35">
      <c r="A65" t="s">
        <v>143</v>
      </c>
    </row>
    <row r="66" spans="1:3" x14ac:dyDescent="0.35">
      <c r="A66" t="s">
        <v>151</v>
      </c>
    </row>
    <row r="67" spans="1:3" x14ac:dyDescent="0.35">
      <c r="A67" t="s">
        <v>141</v>
      </c>
    </row>
    <row r="68" spans="1:3" x14ac:dyDescent="0.35">
      <c r="A68" t="s">
        <v>151</v>
      </c>
    </row>
    <row r="69" spans="1:3" x14ac:dyDescent="0.35">
      <c r="A69" t="s">
        <v>152</v>
      </c>
    </row>
    <row r="70" spans="1:3" x14ac:dyDescent="0.35">
      <c r="A70" t="s">
        <v>144</v>
      </c>
    </row>
    <row r="71" spans="1:3" x14ac:dyDescent="0.35">
      <c r="A71" t="s">
        <v>153</v>
      </c>
    </row>
    <row r="72" spans="1:3" x14ac:dyDescent="0.35">
      <c r="A72" t="s">
        <v>143</v>
      </c>
    </row>
    <row r="73" spans="1:3" x14ac:dyDescent="0.35">
      <c r="A73" t="s">
        <v>154</v>
      </c>
    </row>
    <row r="74" spans="1:3" x14ac:dyDescent="0.35">
      <c r="A74" t="s">
        <v>143</v>
      </c>
    </row>
    <row r="77" spans="1:3" x14ac:dyDescent="0.35">
      <c r="A77" t="s">
        <v>117</v>
      </c>
      <c r="B77">
        <v>66</v>
      </c>
      <c r="C77" t="s">
        <v>118</v>
      </c>
    </row>
    <row r="78" spans="1:3" x14ac:dyDescent="0.35">
      <c r="A78" t="s">
        <v>119</v>
      </c>
      <c r="B78">
        <v>61</v>
      </c>
      <c r="C78" t="s">
        <v>120</v>
      </c>
    </row>
    <row r="79" spans="1:3" x14ac:dyDescent="0.35">
      <c r="A79" t="s">
        <v>121</v>
      </c>
      <c r="B79">
        <v>27</v>
      </c>
      <c r="C79" t="s">
        <v>155</v>
      </c>
    </row>
    <row r="80" spans="1:3" x14ac:dyDescent="0.35">
      <c r="A80" t="s">
        <v>122</v>
      </c>
      <c r="B80">
        <v>27</v>
      </c>
      <c r="C80" t="s">
        <v>156</v>
      </c>
    </row>
    <row r="82" spans="1:3" x14ac:dyDescent="0.35">
      <c r="A82" t="s">
        <v>123</v>
      </c>
      <c r="B82">
        <v>1</v>
      </c>
      <c r="C82" t="s">
        <v>118</v>
      </c>
    </row>
    <row r="83" spans="1:3" x14ac:dyDescent="0.35">
      <c r="A83" t="s">
        <v>124</v>
      </c>
      <c r="B83">
        <v>0.44</v>
      </c>
      <c r="C83" t="s">
        <v>155</v>
      </c>
    </row>
    <row r="84" spans="1:3" x14ac:dyDescent="0.35">
      <c r="A84" t="s">
        <v>125</v>
      </c>
      <c r="B84">
        <v>0.41</v>
      </c>
      <c r="C84" t="s">
        <v>156</v>
      </c>
    </row>
    <row r="87" spans="1:3" x14ac:dyDescent="0.35">
      <c r="A87" t="s">
        <v>126</v>
      </c>
      <c r="B87">
        <v>0</v>
      </c>
    </row>
    <row r="88" spans="1:3" x14ac:dyDescent="0.35">
      <c r="A88" t="s">
        <v>127</v>
      </c>
      <c r="B88">
        <v>71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baseColWidth="10" defaultColWidth="8.7265625" defaultRowHeight="14.5" x14ac:dyDescent="0.35"/>
  <cols>
    <col min="1" max="1" width="11" customWidth="1"/>
    <col min="2" max="2" width="13" customWidth="1"/>
    <col min="3" max="3" width="12" customWidth="1"/>
    <col min="4" max="5" width="10" customWidth="1"/>
    <col min="6" max="6" width="12" customWidth="1"/>
    <col min="7" max="7" width="10" customWidth="1"/>
  </cols>
  <sheetData>
    <row r="1" spans="1:6" x14ac:dyDescent="0.35">
      <c r="A1" t="s">
        <v>157</v>
      </c>
      <c r="B1" t="s">
        <v>158</v>
      </c>
      <c r="C1" t="s">
        <v>159</v>
      </c>
      <c r="D1" t="s">
        <v>4</v>
      </c>
      <c r="E1" t="s">
        <v>160</v>
      </c>
      <c r="F1" t="s">
        <v>161</v>
      </c>
    </row>
    <row r="4" spans="1:6" x14ac:dyDescent="0.35">
      <c r="A4" t="s">
        <v>162</v>
      </c>
      <c r="B4">
        <v>0</v>
      </c>
    </row>
    <row r="5" spans="1:6" x14ac:dyDescent="0.35">
      <c r="A5" t="s">
        <v>163</v>
      </c>
      <c r="B5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Résultats principaux</vt:lpstr>
      <vt:lpstr>Q1</vt:lpstr>
      <vt:lpstr>Q2</vt:lpstr>
      <vt:lpstr>Q3</vt:lpstr>
      <vt:lpstr>Q4</vt:lpstr>
      <vt:lpstr>Q5</vt:lpstr>
      <vt:lpstr>Mur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2026-09-03T08:02:55Z</dcterms:created>
  <dcterms:modified xsi:type="dcterms:W3CDTF">2026-09-21T16:21:16Z</dcterms:modified>
  <cp:category/>
</cp:coreProperties>
</file>