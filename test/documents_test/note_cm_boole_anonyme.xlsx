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19200" windowHeight="7810" activeTab="5"/>
  </bookViews>
  <sheets>
    <sheet name="Résultats principaux" sheetId="1" r:id="rId1"/>
    <sheet name="Q1" sheetId="2" r:id="rId2"/>
    <sheet name="Q2" sheetId="3" r:id="rId3"/>
    <sheet name="Q3" sheetId="4" r:id="rId4"/>
    <sheet name="Q4" sheetId="5" r:id="rId5"/>
    <sheet name="Q5" sheetId="6" r:id="rId6"/>
    <sheet name="Mur" sheetId="7" r:id="rId7"/>
  </sheets>
  <calcPr calcId="152511"/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3" i="1"/>
  <c r="I25" i="1"/>
  <c r="I26" i="1"/>
  <c r="I27" i="1"/>
  <c r="I28" i="1"/>
  <c r="I29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2" i="1"/>
  <c r="G3" i="1"/>
  <c r="G4" i="1"/>
  <c r="G5" i="1"/>
  <c r="G6" i="1"/>
  <c r="G7" i="1"/>
  <c r="G8" i="1"/>
  <c r="G10" i="1"/>
  <c r="G11" i="1"/>
  <c r="G13" i="1"/>
  <c r="G14" i="1"/>
  <c r="G15" i="1"/>
  <c r="G16" i="1"/>
  <c r="G17" i="1"/>
  <c r="G18" i="1"/>
  <c r="G19" i="1"/>
  <c r="G20" i="1"/>
  <c r="G21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3" i="1"/>
  <c r="G57" i="1"/>
  <c r="G58" i="1"/>
  <c r="G60" i="1"/>
  <c r="G61" i="1"/>
  <c r="G62" i="1"/>
  <c r="G63" i="1"/>
  <c r="G64" i="1"/>
  <c r="G2" i="1"/>
</calcChain>
</file>

<file path=xl/sharedStrings.xml><?xml version="1.0" encoding="utf-8"?>
<sst xmlns="http://schemas.openxmlformats.org/spreadsheetml/2006/main" count="790" uniqueCount="133">
  <si>
    <t>#</t>
  </si>
  <si>
    <t>Nom d'utilisateur</t>
  </si>
  <si>
    <t>Prénom</t>
  </si>
  <si>
    <t>Nom de famille</t>
  </si>
  <si>
    <t>Email</t>
  </si>
  <si>
    <t>Q1 - Combien d'opérations pour : (1 pts)</t>
  </si>
  <si>
    <t>Q2 - Soit le tableau suivant et le minterme affiché à côté (a b barre c barre d). Indiquer la lettre de la case où il se situe (majuscule ou minuscule). (2 pts)</t>
  </si>
  <si>
    <t>Q3 - Donner la forme simplifiée de la fonction suivante (1 pts)</t>
  </si>
  <si>
    <t>Q4 - Combien de cases seront occupées dans un tableau de karnaugh à 5 éléments pour noter une fonction f(a,b,c,d,e)=abe (1 pts)</t>
  </si>
  <si>
    <t>Q5 - Combien de cases pour un tableau de Karnaugh à 6 éléments? (1 pts)</t>
  </si>
  <si>
    <t>Total</t>
  </si>
  <si>
    <t/>
  </si>
  <si>
    <t>V - 6</t>
  </si>
  <si>
    <t>V - N</t>
  </si>
  <si>
    <t>V - aucune réponse ne convient</t>
  </si>
  <si>
    <t>V - 4</t>
  </si>
  <si>
    <t>X - 64</t>
  </si>
  <si>
    <t>5 / 6</t>
  </si>
  <si>
    <t>/</t>
  </si>
  <si>
    <t>X - 6</t>
  </si>
  <si>
    <t>3 / 6</t>
  </si>
  <si>
    <t>X - 5 / 9</t>
  </si>
  <si>
    <t>X - 32</t>
  </si>
  <si>
    <t>X - 36</t>
  </si>
  <si>
    <t>X - 5 / 5</t>
  </si>
  <si>
    <t>X - M</t>
  </si>
  <si>
    <t>X - 32 / 64</t>
  </si>
  <si>
    <t>X - 5 / 6</t>
  </si>
  <si>
    <t>X - m</t>
  </si>
  <si>
    <t>X - a</t>
  </si>
  <si>
    <t>2 / 6</t>
  </si>
  <si>
    <t>X - 5</t>
  </si>
  <si>
    <t>X - N / M</t>
  </si>
  <si>
    <t xml:space="preserve">X - </t>
  </si>
  <si>
    <t>4 / 6</t>
  </si>
  <si>
    <t>X - 7 / 9</t>
  </si>
  <si>
    <t>X - C</t>
  </si>
  <si>
    <t>X - 1</t>
  </si>
  <si>
    <t>X - 8</t>
  </si>
  <si>
    <t>V - 32</t>
  </si>
  <si>
    <t>X - 7</t>
  </si>
  <si>
    <t>X - 32 / 4</t>
  </si>
  <si>
    <t>X - N / J</t>
  </si>
  <si>
    <t>X - N O</t>
  </si>
  <si>
    <t>1 / 6</t>
  </si>
  <si>
    <t>X - 3</t>
  </si>
  <si>
    <t>X - m / n</t>
  </si>
  <si>
    <t>X - M / N / N / N</t>
  </si>
  <si>
    <t>X - 6 / 7 / 6 / 7</t>
  </si>
  <si>
    <t>X - 6 / 7</t>
  </si>
  <si>
    <t>X - N / M / N / N / N</t>
  </si>
  <si>
    <t>X - NO</t>
  </si>
  <si>
    <t>X - 16</t>
  </si>
  <si>
    <t>X - 62 / 64</t>
  </si>
  <si>
    <t>0 / 6</t>
  </si>
  <si>
    <t>X - 6 / 4</t>
  </si>
  <si>
    <t>X - 4 / 48</t>
  </si>
  <si>
    <t>X - 48</t>
  </si>
  <si>
    <t>X - No</t>
  </si>
  <si>
    <t>X - 2</t>
  </si>
  <si>
    <t>X - 6 / 7 / 7</t>
  </si>
  <si>
    <t>X - B</t>
  </si>
  <si>
    <t>V - n</t>
  </si>
  <si>
    <t>X - M / N</t>
  </si>
  <si>
    <t>X - 9</t>
  </si>
  <si>
    <t>Moyenne</t>
  </si>
  <si>
    <t>68.25%</t>
  </si>
  <si>
    <t>84.13%</t>
  </si>
  <si>
    <t>6.35%</t>
  </si>
  <si>
    <t>65.87%</t>
  </si>
  <si>
    <t>Combien d'opérations pour :</t>
  </si>
  <si>
    <t>Réponse</t>
  </si>
  <si>
    <t>6</t>
  </si>
  <si>
    <t>5</t>
  </si>
  <si>
    <t>7</t>
  </si>
  <si>
    <t>8</t>
  </si>
  <si>
    <t>9</t>
  </si>
  <si>
    <t>Nombre de participants</t>
  </si>
  <si>
    <t>100%</t>
  </si>
  <si>
    <t>Nombre de participants qui ont répondu</t>
  </si>
  <si>
    <t>96.83%</t>
  </si>
  <si>
    <t>Nombre de participants qui ont répondu correctement (excl. les réponses manquantes)</t>
  </si>
  <si>
    <t>70.49%</t>
  </si>
  <si>
    <t>Nombre de participants qui ont répondu correctement (incl. les réponses manquantes)</t>
  </si>
  <si>
    <t>Score maximum</t>
  </si>
  <si>
    <t>Score moyen (excl. les réponses manquantes)</t>
  </si>
  <si>
    <t>Score moyen (incl. les réponses manquantes)</t>
  </si>
  <si>
    <t>Par SMS</t>
  </si>
  <si>
    <t>Par web</t>
  </si>
  <si>
    <t>Soit le tableau suivant et le minterme affiché à côté (a b barre c barre d). Indiquer la lettre de la case où il se situe (majuscule ou minuscule).</t>
  </si>
  <si>
    <t>N</t>
  </si>
  <si>
    <t>m</t>
  </si>
  <si>
    <t>n</t>
  </si>
  <si>
    <t>M</t>
  </si>
  <si>
    <t>J</t>
  </si>
  <si>
    <t>NO</t>
  </si>
  <si>
    <t>No</t>
  </si>
  <si>
    <t>C</t>
  </si>
  <si>
    <t>N O</t>
  </si>
  <si>
    <t>B</t>
  </si>
  <si>
    <t>86.89%</t>
  </si>
  <si>
    <t>Donner la forme simplifiée de la fonction suivante</t>
  </si>
  <si>
    <t>Choix</t>
  </si>
  <si>
    <t>Nombre de votes</t>
  </si>
  <si>
    <t>%</t>
  </si>
  <si>
    <t>Commentaires</t>
  </si>
  <si>
    <t>a</t>
  </si>
  <si>
    <t>b</t>
  </si>
  <si>
    <t>ac</t>
  </si>
  <si>
    <t>aucune réponse ne convient</t>
  </si>
  <si>
    <t>Combien de cases seront occupées dans un tableau de karnaugh à 5 éléments pour noter une fonction f(a,b,c,d,e)=abe</t>
  </si>
  <si>
    <t>2</t>
  </si>
  <si>
    <t>32</t>
  </si>
  <si>
    <t>4</t>
  </si>
  <si>
    <t>16</t>
  </si>
  <si>
    <t>3</t>
  </si>
  <si>
    <t>1</t>
  </si>
  <si>
    <t>90.48%</t>
  </si>
  <si>
    <t>75.44%</t>
  </si>
  <si>
    <t>Combien de cases pour un tableau de Karnaugh à 6 éléments?</t>
  </si>
  <si>
    <t>64</t>
  </si>
  <si>
    <t>62</t>
  </si>
  <si>
    <t>36</t>
  </si>
  <si>
    <t>48</t>
  </si>
  <si>
    <t>92.06%</t>
  </si>
  <si>
    <t>6.9%</t>
  </si>
  <si>
    <t>Username</t>
  </si>
  <si>
    <t>First name</t>
  </si>
  <si>
    <t>Last name</t>
  </si>
  <si>
    <t>Answer</t>
  </si>
  <si>
    <t>Archived?</t>
  </si>
  <si>
    <t>By SMS</t>
  </si>
  <si>
    <t>By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</si>
</sst>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5"/>
  <sheetViews>
    <sheetView topLeftCell="A58" workbookViewId="0">
      <selection activeCell="B2" sqref="B2:E64"/>
    </sheetView>
  </sheetViews>
  <sheetFormatPr baseColWidth="10" defaultColWidth="8.7265625" defaultRowHeight="14.5" x14ac:dyDescent="0.35"/>
  <cols>
    <col min="1" max="1" width="10" customWidth="1"/>
    <col min="2" max="2" width="26" customWidth="1"/>
    <col min="3" max="3" width="10" customWidth="1"/>
    <col min="4" max="4" width="17" customWidth="1"/>
    <col min="5" max="5" width="35" customWidth="1"/>
    <col min="6" max="7" width="43" customWidth="1"/>
    <col min="8" max="9" width="75" customWidth="1"/>
    <col min="10" max="11" width="66" customWidth="1"/>
    <col min="12" max="13" width="75" customWidth="1"/>
    <col min="14" max="15" width="74" customWidth="1"/>
    <col min="16" max="16" width="10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J1" t="s">
        <v>7</v>
      </c>
      <c r="L1" t="s">
        <v>8</v>
      </c>
      <c r="N1" t="s">
        <v>9</v>
      </c>
      <c r="P1" t="s">
        <v>10</v>
      </c>
    </row>
    <row r="2" spans="1:17" x14ac:dyDescent="0.35">
      <c r="A2">
        <v>1</v>
      </c>
      <c r="F2" t="s">
        <v>12</v>
      </c>
      <c r="G2">
        <f>IF(F2=$F$2,1,0)</f>
        <v>1</v>
      </c>
      <c r="H2" t="s">
        <v>13</v>
      </c>
      <c r="I2">
        <f>IF(H2=$H$2,1,0)</f>
        <v>1</v>
      </c>
      <c r="J2" t="s">
        <v>14</v>
      </c>
      <c r="K2">
        <f>IF(J2=$J$2,1,0)</f>
        <v>1</v>
      </c>
      <c r="L2" t="s">
        <v>15</v>
      </c>
      <c r="M2">
        <f>IF(L2=$L$2,1,0)</f>
        <v>1</v>
      </c>
      <c r="N2" t="s">
        <v>16</v>
      </c>
      <c r="O2">
        <f>IF(N2=$N$2,1,0)</f>
        <v>1</v>
      </c>
      <c r="P2" t="s">
        <v>17</v>
      </c>
      <c r="Q2">
        <f>O2+M2+K2+I2+G2</f>
        <v>5</v>
      </c>
    </row>
    <row r="3" spans="1:17" x14ac:dyDescent="0.35">
      <c r="A3">
        <v>2</v>
      </c>
      <c r="F3" t="s">
        <v>18</v>
      </c>
      <c r="G3">
        <f t="shared" ref="G3:G64" si="0">IF(F3=$F$2,1,0)</f>
        <v>0</v>
      </c>
      <c r="H3" t="s">
        <v>13</v>
      </c>
      <c r="I3">
        <f t="shared" ref="I3:I64" si="1">IF(H3=$H$2,1,0)</f>
        <v>1</v>
      </c>
      <c r="J3" t="s">
        <v>14</v>
      </c>
      <c r="K3">
        <f t="shared" ref="K3:K64" si="2">IF(J3=$J$2,1,0)</f>
        <v>1</v>
      </c>
      <c r="L3" t="s">
        <v>19</v>
      </c>
      <c r="M3">
        <f t="shared" ref="M3:M64" si="3">IF(L3=$L$2,1,0)</f>
        <v>0</v>
      </c>
      <c r="N3" t="s">
        <v>16</v>
      </c>
      <c r="O3">
        <f t="shared" ref="O3:O64" si="4">IF(N3=$N$2,1,0)</f>
        <v>1</v>
      </c>
      <c r="P3" t="s">
        <v>20</v>
      </c>
      <c r="Q3">
        <f t="shared" ref="Q3:Q64" si="5">O3+M3+K3+I3+G3</f>
        <v>3</v>
      </c>
    </row>
    <row r="4" spans="1:17" x14ac:dyDescent="0.35">
      <c r="A4">
        <v>3</v>
      </c>
      <c r="F4" t="s">
        <v>21</v>
      </c>
      <c r="G4">
        <f t="shared" si="0"/>
        <v>0</v>
      </c>
      <c r="H4" t="s">
        <v>13</v>
      </c>
      <c r="I4">
        <f t="shared" si="1"/>
        <v>1</v>
      </c>
      <c r="J4" t="s">
        <v>14</v>
      </c>
      <c r="K4">
        <f t="shared" si="2"/>
        <v>1</v>
      </c>
      <c r="L4" t="s">
        <v>22</v>
      </c>
      <c r="M4">
        <f t="shared" si="3"/>
        <v>0</v>
      </c>
      <c r="N4" t="s">
        <v>23</v>
      </c>
      <c r="O4">
        <f t="shared" si="4"/>
        <v>0</v>
      </c>
      <c r="P4" t="s">
        <v>20</v>
      </c>
      <c r="Q4">
        <f t="shared" si="5"/>
        <v>2</v>
      </c>
    </row>
    <row r="5" spans="1:17" x14ac:dyDescent="0.35">
      <c r="A5">
        <v>4</v>
      </c>
      <c r="F5" t="s">
        <v>12</v>
      </c>
      <c r="G5">
        <f t="shared" si="0"/>
        <v>1</v>
      </c>
      <c r="H5" t="s">
        <v>13</v>
      </c>
      <c r="I5">
        <f t="shared" si="1"/>
        <v>1</v>
      </c>
      <c r="J5" t="s">
        <v>14</v>
      </c>
      <c r="K5">
        <f t="shared" si="2"/>
        <v>1</v>
      </c>
      <c r="L5" t="s">
        <v>15</v>
      </c>
      <c r="M5">
        <f t="shared" si="3"/>
        <v>1</v>
      </c>
      <c r="N5" t="s">
        <v>16</v>
      </c>
      <c r="O5">
        <f t="shared" si="4"/>
        <v>1</v>
      </c>
      <c r="P5" t="s">
        <v>17</v>
      </c>
      <c r="Q5">
        <f t="shared" si="5"/>
        <v>5</v>
      </c>
    </row>
    <row r="6" spans="1:17" x14ac:dyDescent="0.35">
      <c r="A6">
        <v>5</v>
      </c>
      <c r="F6" t="s">
        <v>12</v>
      </c>
      <c r="G6">
        <f t="shared" si="0"/>
        <v>1</v>
      </c>
      <c r="H6" t="s">
        <v>13</v>
      </c>
      <c r="I6">
        <f t="shared" si="1"/>
        <v>1</v>
      </c>
      <c r="J6" t="s">
        <v>14</v>
      </c>
      <c r="K6">
        <f t="shared" si="2"/>
        <v>1</v>
      </c>
      <c r="L6" t="s">
        <v>15</v>
      </c>
      <c r="M6">
        <f t="shared" si="3"/>
        <v>1</v>
      </c>
      <c r="N6" t="s">
        <v>16</v>
      </c>
      <c r="O6">
        <f t="shared" si="4"/>
        <v>1</v>
      </c>
      <c r="P6" t="s">
        <v>17</v>
      </c>
      <c r="Q6">
        <f t="shared" si="5"/>
        <v>5</v>
      </c>
    </row>
    <row r="7" spans="1:17" x14ac:dyDescent="0.35">
      <c r="A7">
        <v>6</v>
      </c>
      <c r="F7" t="s">
        <v>12</v>
      </c>
      <c r="G7">
        <f t="shared" si="0"/>
        <v>1</v>
      </c>
      <c r="H7" t="s">
        <v>13</v>
      </c>
      <c r="I7">
        <f t="shared" si="1"/>
        <v>1</v>
      </c>
      <c r="J7" t="s">
        <v>14</v>
      </c>
      <c r="K7">
        <f t="shared" si="2"/>
        <v>1</v>
      </c>
      <c r="L7" t="s">
        <v>15</v>
      </c>
      <c r="M7">
        <f t="shared" si="3"/>
        <v>1</v>
      </c>
      <c r="N7" t="s">
        <v>16</v>
      </c>
      <c r="O7">
        <f t="shared" si="4"/>
        <v>1</v>
      </c>
      <c r="P7" t="s">
        <v>17</v>
      </c>
      <c r="Q7">
        <f t="shared" si="5"/>
        <v>5</v>
      </c>
    </row>
    <row r="8" spans="1:17" x14ac:dyDescent="0.35">
      <c r="A8">
        <v>7</v>
      </c>
      <c r="F8" t="s">
        <v>24</v>
      </c>
      <c r="G8">
        <f t="shared" si="0"/>
        <v>0</v>
      </c>
      <c r="H8" t="s">
        <v>25</v>
      </c>
      <c r="I8">
        <f t="shared" si="1"/>
        <v>0</v>
      </c>
      <c r="J8" t="s">
        <v>14</v>
      </c>
      <c r="K8">
        <f t="shared" si="2"/>
        <v>1</v>
      </c>
      <c r="L8" t="s">
        <v>15</v>
      </c>
      <c r="M8">
        <f t="shared" si="3"/>
        <v>1</v>
      </c>
      <c r="N8" t="s">
        <v>26</v>
      </c>
      <c r="O8">
        <f t="shared" si="4"/>
        <v>0</v>
      </c>
      <c r="P8" t="s">
        <v>20</v>
      </c>
      <c r="Q8">
        <f t="shared" si="5"/>
        <v>2</v>
      </c>
    </row>
    <row r="9" spans="1:17" x14ac:dyDescent="0.35">
      <c r="A9">
        <v>8</v>
      </c>
      <c r="F9" t="s">
        <v>27</v>
      </c>
      <c r="G9">
        <v>1</v>
      </c>
      <c r="H9" t="s">
        <v>28</v>
      </c>
      <c r="I9">
        <f t="shared" si="1"/>
        <v>0</v>
      </c>
      <c r="J9" t="s">
        <v>29</v>
      </c>
      <c r="K9">
        <f t="shared" si="2"/>
        <v>0</v>
      </c>
      <c r="L9" t="s">
        <v>15</v>
      </c>
      <c r="M9">
        <f t="shared" si="3"/>
        <v>1</v>
      </c>
      <c r="N9" t="s">
        <v>16</v>
      </c>
      <c r="O9">
        <f t="shared" si="4"/>
        <v>1</v>
      </c>
      <c r="P9" t="s">
        <v>30</v>
      </c>
      <c r="Q9">
        <f t="shared" si="5"/>
        <v>3</v>
      </c>
    </row>
    <row r="10" spans="1:17" x14ac:dyDescent="0.35">
      <c r="A10">
        <v>9</v>
      </c>
      <c r="F10" t="s">
        <v>31</v>
      </c>
      <c r="G10">
        <f t="shared" si="0"/>
        <v>0</v>
      </c>
      <c r="H10" t="s">
        <v>32</v>
      </c>
      <c r="I10">
        <f t="shared" si="1"/>
        <v>0</v>
      </c>
      <c r="J10" t="s">
        <v>33</v>
      </c>
      <c r="K10">
        <f t="shared" si="2"/>
        <v>0</v>
      </c>
      <c r="L10" t="s">
        <v>15</v>
      </c>
      <c r="M10">
        <f t="shared" si="3"/>
        <v>1</v>
      </c>
      <c r="N10" t="s">
        <v>26</v>
      </c>
      <c r="O10">
        <f t="shared" si="4"/>
        <v>0</v>
      </c>
      <c r="P10" t="s">
        <v>34</v>
      </c>
      <c r="Q10">
        <f t="shared" si="5"/>
        <v>1</v>
      </c>
    </row>
    <row r="11" spans="1:17" x14ac:dyDescent="0.35">
      <c r="A11">
        <v>10</v>
      </c>
      <c r="F11" t="s">
        <v>12</v>
      </c>
      <c r="G11">
        <f t="shared" si="0"/>
        <v>1</v>
      </c>
      <c r="H11" t="s">
        <v>13</v>
      </c>
      <c r="I11">
        <f t="shared" si="1"/>
        <v>1</v>
      </c>
      <c r="J11" t="s">
        <v>14</v>
      </c>
      <c r="K11">
        <f t="shared" si="2"/>
        <v>1</v>
      </c>
      <c r="L11" t="s">
        <v>15</v>
      </c>
      <c r="M11">
        <f t="shared" si="3"/>
        <v>1</v>
      </c>
      <c r="N11" t="s">
        <v>16</v>
      </c>
      <c r="O11">
        <f t="shared" si="4"/>
        <v>1</v>
      </c>
      <c r="P11" t="s">
        <v>17</v>
      </c>
      <c r="Q11">
        <f t="shared" si="5"/>
        <v>5</v>
      </c>
    </row>
    <row r="12" spans="1:17" x14ac:dyDescent="0.35">
      <c r="A12">
        <v>11</v>
      </c>
      <c r="F12" t="s">
        <v>27</v>
      </c>
      <c r="G12">
        <v>1</v>
      </c>
      <c r="H12" t="s">
        <v>13</v>
      </c>
      <c r="I12">
        <f t="shared" si="1"/>
        <v>1</v>
      </c>
      <c r="J12" t="s">
        <v>14</v>
      </c>
      <c r="K12">
        <f t="shared" si="2"/>
        <v>1</v>
      </c>
      <c r="L12" t="s">
        <v>15</v>
      </c>
      <c r="M12">
        <f t="shared" si="3"/>
        <v>1</v>
      </c>
      <c r="N12" t="s">
        <v>16</v>
      </c>
      <c r="O12">
        <f t="shared" si="4"/>
        <v>1</v>
      </c>
      <c r="P12" t="s">
        <v>17</v>
      </c>
      <c r="Q12">
        <f t="shared" si="5"/>
        <v>5</v>
      </c>
    </row>
    <row r="13" spans="1:17" x14ac:dyDescent="0.35">
      <c r="A13">
        <v>12</v>
      </c>
      <c r="F13" t="s">
        <v>35</v>
      </c>
      <c r="G13">
        <f t="shared" si="0"/>
        <v>0</v>
      </c>
      <c r="H13" t="s">
        <v>13</v>
      </c>
      <c r="I13">
        <f t="shared" si="1"/>
        <v>1</v>
      </c>
      <c r="J13" t="s">
        <v>14</v>
      </c>
      <c r="K13">
        <f t="shared" si="2"/>
        <v>1</v>
      </c>
      <c r="L13" t="s">
        <v>15</v>
      </c>
      <c r="M13">
        <f t="shared" si="3"/>
        <v>1</v>
      </c>
      <c r="N13" t="s">
        <v>23</v>
      </c>
      <c r="O13">
        <f t="shared" si="4"/>
        <v>0</v>
      </c>
      <c r="P13" t="s">
        <v>34</v>
      </c>
      <c r="Q13">
        <f t="shared" si="5"/>
        <v>3</v>
      </c>
    </row>
    <row r="14" spans="1:17" x14ac:dyDescent="0.35">
      <c r="A14">
        <v>13</v>
      </c>
      <c r="F14" t="s">
        <v>12</v>
      </c>
      <c r="G14">
        <f t="shared" si="0"/>
        <v>1</v>
      </c>
      <c r="H14" t="s">
        <v>36</v>
      </c>
      <c r="I14">
        <f t="shared" si="1"/>
        <v>0</v>
      </c>
      <c r="J14" t="s">
        <v>14</v>
      </c>
      <c r="K14">
        <f t="shared" si="2"/>
        <v>1</v>
      </c>
      <c r="L14" t="s">
        <v>37</v>
      </c>
      <c r="M14">
        <f t="shared" si="3"/>
        <v>0</v>
      </c>
      <c r="N14" t="s">
        <v>16</v>
      </c>
      <c r="O14">
        <f t="shared" si="4"/>
        <v>1</v>
      </c>
      <c r="P14" t="s">
        <v>30</v>
      </c>
      <c r="Q14">
        <f t="shared" si="5"/>
        <v>3</v>
      </c>
    </row>
    <row r="15" spans="1:17" x14ac:dyDescent="0.35">
      <c r="A15">
        <v>14</v>
      </c>
      <c r="F15" t="s">
        <v>38</v>
      </c>
      <c r="G15">
        <f t="shared" si="0"/>
        <v>0</v>
      </c>
      <c r="H15" t="s">
        <v>18</v>
      </c>
      <c r="I15">
        <f t="shared" si="1"/>
        <v>0</v>
      </c>
      <c r="J15" t="s">
        <v>14</v>
      </c>
      <c r="K15">
        <f t="shared" si="2"/>
        <v>1</v>
      </c>
      <c r="L15" t="s">
        <v>15</v>
      </c>
      <c r="M15">
        <f t="shared" si="3"/>
        <v>1</v>
      </c>
      <c r="N15" t="s">
        <v>39</v>
      </c>
      <c r="O15">
        <f t="shared" si="4"/>
        <v>0</v>
      </c>
      <c r="P15" t="s">
        <v>20</v>
      </c>
      <c r="Q15">
        <f t="shared" si="5"/>
        <v>2</v>
      </c>
    </row>
    <row r="16" spans="1:17" x14ac:dyDescent="0.35">
      <c r="A16">
        <v>15</v>
      </c>
      <c r="F16" t="s">
        <v>40</v>
      </c>
      <c r="G16">
        <f t="shared" si="0"/>
        <v>0</v>
      </c>
      <c r="H16" t="s">
        <v>13</v>
      </c>
      <c r="I16">
        <f t="shared" si="1"/>
        <v>1</v>
      </c>
      <c r="J16" t="s">
        <v>14</v>
      </c>
      <c r="K16">
        <f t="shared" si="2"/>
        <v>1</v>
      </c>
      <c r="L16" t="s">
        <v>15</v>
      </c>
      <c r="M16">
        <f t="shared" si="3"/>
        <v>1</v>
      </c>
      <c r="N16" t="s">
        <v>16</v>
      </c>
      <c r="O16">
        <f t="shared" si="4"/>
        <v>1</v>
      </c>
      <c r="P16" t="s">
        <v>34</v>
      </c>
      <c r="Q16">
        <f t="shared" si="5"/>
        <v>4</v>
      </c>
    </row>
    <row r="17" spans="1:17" x14ac:dyDescent="0.35">
      <c r="A17">
        <v>16</v>
      </c>
      <c r="F17" t="s">
        <v>40</v>
      </c>
      <c r="G17">
        <f t="shared" si="0"/>
        <v>0</v>
      </c>
      <c r="H17" t="s">
        <v>13</v>
      </c>
      <c r="I17">
        <f t="shared" si="1"/>
        <v>1</v>
      </c>
      <c r="J17" t="s">
        <v>14</v>
      </c>
      <c r="K17">
        <f t="shared" si="2"/>
        <v>1</v>
      </c>
      <c r="L17" t="s">
        <v>41</v>
      </c>
      <c r="M17">
        <f t="shared" si="3"/>
        <v>0</v>
      </c>
      <c r="N17" t="s">
        <v>16</v>
      </c>
      <c r="O17">
        <f t="shared" si="4"/>
        <v>1</v>
      </c>
      <c r="P17" t="s">
        <v>34</v>
      </c>
      <c r="Q17">
        <f t="shared" si="5"/>
        <v>3</v>
      </c>
    </row>
    <row r="18" spans="1:17" x14ac:dyDescent="0.35">
      <c r="A18">
        <v>17</v>
      </c>
      <c r="F18" t="s">
        <v>40</v>
      </c>
      <c r="G18">
        <f t="shared" si="0"/>
        <v>0</v>
      </c>
      <c r="H18" t="s">
        <v>32</v>
      </c>
      <c r="I18">
        <f t="shared" si="1"/>
        <v>0</v>
      </c>
      <c r="J18" t="s">
        <v>14</v>
      </c>
      <c r="K18">
        <f t="shared" si="2"/>
        <v>1</v>
      </c>
      <c r="L18" t="s">
        <v>15</v>
      </c>
      <c r="M18">
        <f t="shared" si="3"/>
        <v>1</v>
      </c>
      <c r="N18" t="s">
        <v>18</v>
      </c>
      <c r="O18">
        <f t="shared" si="4"/>
        <v>0</v>
      </c>
      <c r="P18" t="s">
        <v>34</v>
      </c>
      <c r="Q18">
        <f t="shared" si="5"/>
        <v>2</v>
      </c>
    </row>
    <row r="19" spans="1:17" x14ac:dyDescent="0.35">
      <c r="A19">
        <v>18</v>
      </c>
      <c r="F19" t="s">
        <v>12</v>
      </c>
      <c r="G19">
        <f t="shared" si="0"/>
        <v>1</v>
      </c>
      <c r="H19" t="s">
        <v>42</v>
      </c>
      <c r="I19">
        <f t="shared" si="1"/>
        <v>0</v>
      </c>
      <c r="J19" t="s">
        <v>14</v>
      </c>
      <c r="K19">
        <f t="shared" si="2"/>
        <v>1</v>
      </c>
      <c r="L19" t="s">
        <v>15</v>
      </c>
      <c r="M19">
        <f t="shared" si="3"/>
        <v>1</v>
      </c>
      <c r="N19" t="s">
        <v>16</v>
      </c>
      <c r="O19">
        <f t="shared" si="4"/>
        <v>1</v>
      </c>
      <c r="P19" t="s">
        <v>17</v>
      </c>
      <c r="Q19">
        <f t="shared" si="5"/>
        <v>4</v>
      </c>
    </row>
    <row r="20" spans="1:17" x14ac:dyDescent="0.35">
      <c r="A20">
        <v>19</v>
      </c>
      <c r="F20" t="s">
        <v>38</v>
      </c>
      <c r="G20">
        <f t="shared" si="0"/>
        <v>0</v>
      </c>
      <c r="H20" t="s">
        <v>43</v>
      </c>
      <c r="I20">
        <f t="shared" si="1"/>
        <v>0</v>
      </c>
      <c r="J20" t="s">
        <v>14</v>
      </c>
      <c r="K20">
        <f t="shared" si="2"/>
        <v>1</v>
      </c>
      <c r="L20" t="s">
        <v>38</v>
      </c>
      <c r="M20">
        <f t="shared" si="3"/>
        <v>0</v>
      </c>
      <c r="N20" t="s">
        <v>16</v>
      </c>
      <c r="O20">
        <f t="shared" si="4"/>
        <v>1</v>
      </c>
      <c r="P20" t="s">
        <v>44</v>
      </c>
      <c r="Q20">
        <f t="shared" si="5"/>
        <v>2</v>
      </c>
    </row>
    <row r="21" spans="1:17" x14ac:dyDescent="0.35">
      <c r="A21">
        <v>20</v>
      </c>
      <c r="F21" t="s">
        <v>12</v>
      </c>
      <c r="G21">
        <f t="shared" si="0"/>
        <v>1</v>
      </c>
      <c r="H21" t="s">
        <v>13</v>
      </c>
      <c r="I21">
        <f t="shared" si="1"/>
        <v>1</v>
      </c>
      <c r="J21" t="s">
        <v>14</v>
      </c>
      <c r="K21">
        <f t="shared" si="2"/>
        <v>1</v>
      </c>
      <c r="L21" t="s">
        <v>45</v>
      </c>
      <c r="M21">
        <f t="shared" si="3"/>
        <v>0</v>
      </c>
      <c r="N21" t="s">
        <v>16</v>
      </c>
      <c r="O21">
        <f t="shared" si="4"/>
        <v>1</v>
      </c>
      <c r="P21" t="s">
        <v>34</v>
      </c>
      <c r="Q21">
        <f t="shared" si="5"/>
        <v>4</v>
      </c>
    </row>
    <row r="22" spans="1:17" x14ac:dyDescent="0.35">
      <c r="A22">
        <v>21</v>
      </c>
      <c r="F22" t="s">
        <v>27</v>
      </c>
      <c r="G22">
        <v>1</v>
      </c>
      <c r="H22" t="s">
        <v>46</v>
      </c>
      <c r="I22">
        <v>1</v>
      </c>
      <c r="J22" t="s">
        <v>14</v>
      </c>
      <c r="K22">
        <f t="shared" si="2"/>
        <v>1</v>
      </c>
      <c r="L22" t="s">
        <v>22</v>
      </c>
      <c r="M22">
        <f t="shared" si="3"/>
        <v>0</v>
      </c>
      <c r="N22" t="s">
        <v>16</v>
      </c>
      <c r="O22">
        <f t="shared" si="4"/>
        <v>1</v>
      </c>
      <c r="P22" t="s">
        <v>34</v>
      </c>
      <c r="Q22">
        <f t="shared" si="5"/>
        <v>4</v>
      </c>
    </row>
    <row r="23" spans="1:17" x14ac:dyDescent="0.35">
      <c r="A23">
        <v>22</v>
      </c>
      <c r="F23" t="s">
        <v>31</v>
      </c>
      <c r="G23">
        <f t="shared" si="0"/>
        <v>0</v>
      </c>
      <c r="H23" t="s">
        <v>13</v>
      </c>
      <c r="I23">
        <f t="shared" si="1"/>
        <v>1</v>
      </c>
      <c r="J23" t="s">
        <v>14</v>
      </c>
      <c r="K23">
        <f t="shared" si="2"/>
        <v>1</v>
      </c>
      <c r="L23" t="s">
        <v>15</v>
      </c>
      <c r="M23">
        <f t="shared" si="3"/>
        <v>1</v>
      </c>
      <c r="N23" t="s">
        <v>23</v>
      </c>
      <c r="O23">
        <f t="shared" si="4"/>
        <v>0</v>
      </c>
      <c r="P23" t="s">
        <v>34</v>
      </c>
      <c r="Q23">
        <f t="shared" si="5"/>
        <v>3</v>
      </c>
    </row>
    <row r="24" spans="1:17" x14ac:dyDescent="0.35">
      <c r="A24">
        <v>23</v>
      </c>
      <c r="F24" t="s">
        <v>12</v>
      </c>
      <c r="G24">
        <f t="shared" si="0"/>
        <v>1</v>
      </c>
      <c r="H24" t="s">
        <v>47</v>
      </c>
      <c r="I24">
        <v>1</v>
      </c>
      <c r="J24" t="s">
        <v>14</v>
      </c>
      <c r="K24">
        <f t="shared" si="2"/>
        <v>1</v>
      </c>
      <c r="L24" t="s">
        <v>15</v>
      </c>
      <c r="M24">
        <f t="shared" si="3"/>
        <v>1</v>
      </c>
      <c r="N24" t="s">
        <v>16</v>
      </c>
      <c r="O24">
        <f t="shared" si="4"/>
        <v>1</v>
      </c>
      <c r="P24" t="s">
        <v>17</v>
      </c>
      <c r="Q24">
        <f t="shared" si="5"/>
        <v>5</v>
      </c>
    </row>
    <row r="25" spans="1:17" x14ac:dyDescent="0.35">
      <c r="A25">
        <v>24</v>
      </c>
      <c r="F25" t="s">
        <v>12</v>
      </c>
      <c r="G25">
        <f t="shared" si="0"/>
        <v>1</v>
      </c>
      <c r="H25" t="s">
        <v>13</v>
      </c>
      <c r="I25">
        <f t="shared" si="1"/>
        <v>1</v>
      </c>
      <c r="J25" t="s">
        <v>14</v>
      </c>
      <c r="K25">
        <f t="shared" si="2"/>
        <v>1</v>
      </c>
      <c r="L25" t="s">
        <v>15</v>
      </c>
      <c r="M25">
        <f t="shared" si="3"/>
        <v>1</v>
      </c>
      <c r="N25" t="s">
        <v>16</v>
      </c>
      <c r="O25">
        <f t="shared" si="4"/>
        <v>1</v>
      </c>
      <c r="P25" t="s">
        <v>17</v>
      </c>
      <c r="Q25">
        <f t="shared" si="5"/>
        <v>5</v>
      </c>
    </row>
    <row r="26" spans="1:17" x14ac:dyDescent="0.35">
      <c r="A26">
        <v>25</v>
      </c>
      <c r="F26" t="s">
        <v>12</v>
      </c>
      <c r="G26">
        <f t="shared" si="0"/>
        <v>1</v>
      </c>
      <c r="H26" t="s">
        <v>13</v>
      </c>
      <c r="I26">
        <f t="shared" si="1"/>
        <v>1</v>
      </c>
      <c r="J26" t="s">
        <v>14</v>
      </c>
      <c r="K26">
        <f t="shared" si="2"/>
        <v>1</v>
      </c>
      <c r="L26" t="s">
        <v>15</v>
      </c>
      <c r="M26">
        <f t="shared" si="3"/>
        <v>1</v>
      </c>
      <c r="N26" t="s">
        <v>16</v>
      </c>
      <c r="O26">
        <f t="shared" si="4"/>
        <v>1</v>
      </c>
      <c r="P26" t="s">
        <v>17</v>
      </c>
      <c r="Q26">
        <f t="shared" si="5"/>
        <v>5</v>
      </c>
    </row>
    <row r="27" spans="1:17" x14ac:dyDescent="0.35">
      <c r="A27">
        <v>26</v>
      </c>
      <c r="F27" t="s">
        <v>48</v>
      </c>
      <c r="G27">
        <f t="shared" si="0"/>
        <v>0</v>
      </c>
      <c r="H27" t="s">
        <v>13</v>
      </c>
      <c r="I27">
        <f t="shared" si="1"/>
        <v>1</v>
      </c>
      <c r="J27" t="s">
        <v>14</v>
      </c>
      <c r="K27">
        <f t="shared" si="2"/>
        <v>1</v>
      </c>
      <c r="L27" t="s">
        <v>45</v>
      </c>
      <c r="M27">
        <f t="shared" si="3"/>
        <v>0</v>
      </c>
      <c r="N27" t="s">
        <v>16</v>
      </c>
      <c r="O27">
        <f t="shared" si="4"/>
        <v>1</v>
      </c>
      <c r="P27" t="s">
        <v>34</v>
      </c>
      <c r="Q27">
        <f t="shared" si="5"/>
        <v>3</v>
      </c>
    </row>
    <row r="28" spans="1:17" x14ac:dyDescent="0.35">
      <c r="A28">
        <v>27</v>
      </c>
      <c r="F28" t="s">
        <v>12</v>
      </c>
      <c r="G28">
        <f t="shared" si="0"/>
        <v>1</v>
      </c>
      <c r="H28" t="s">
        <v>13</v>
      </c>
      <c r="I28">
        <f t="shared" si="1"/>
        <v>1</v>
      </c>
      <c r="J28" t="s">
        <v>14</v>
      </c>
      <c r="K28">
        <f t="shared" si="2"/>
        <v>1</v>
      </c>
      <c r="L28" t="s">
        <v>45</v>
      </c>
      <c r="M28">
        <f t="shared" si="3"/>
        <v>0</v>
      </c>
      <c r="N28" t="s">
        <v>16</v>
      </c>
      <c r="O28">
        <f t="shared" si="4"/>
        <v>1</v>
      </c>
      <c r="P28" t="s">
        <v>34</v>
      </c>
      <c r="Q28">
        <f t="shared" si="5"/>
        <v>4</v>
      </c>
    </row>
    <row r="29" spans="1:17" x14ac:dyDescent="0.35">
      <c r="A29">
        <v>28</v>
      </c>
      <c r="F29" t="s">
        <v>49</v>
      </c>
      <c r="G29">
        <f t="shared" si="0"/>
        <v>0</v>
      </c>
      <c r="H29" t="s">
        <v>13</v>
      </c>
      <c r="I29">
        <f t="shared" si="1"/>
        <v>1</v>
      </c>
      <c r="J29" t="s">
        <v>14</v>
      </c>
      <c r="K29">
        <f t="shared" si="2"/>
        <v>1</v>
      </c>
      <c r="L29" t="s">
        <v>15</v>
      </c>
      <c r="M29">
        <f t="shared" si="3"/>
        <v>1</v>
      </c>
      <c r="N29" t="s">
        <v>16</v>
      </c>
      <c r="O29">
        <f t="shared" si="4"/>
        <v>1</v>
      </c>
      <c r="P29" t="s">
        <v>17</v>
      </c>
      <c r="Q29">
        <f t="shared" si="5"/>
        <v>4</v>
      </c>
    </row>
    <row r="30" spans="1:17" x14ac:dyDescent="0.35">
      <c r="A30">
        <v>29</v>
      </c>
      <c r="F30" t="s">
        <v>12</v>
      </c>
      <c r="G30">
        <f t="shared" si="0"/>
        <v>1</v>
      </c>
      <c r="H30" t="s">
        <v>50</v>
      </c>
      <c r="I30">
        <v>1</v>
      </c>
      <c r="J30" t="s">
        <v>14</v>
      </c>
      <c r="K30">
        <f t="shared" si="2"/>
        <v>1</v>
      </c>
      <c r="L30" t="s">
        <v>15</v>
      </c>
      <c r="M30">
        <f t="shared" si="3"/>
        <v>1</v>
      </c>
      <c r="N30" t="s">
        <v>16</v>
      </c>
      <c r="O30">
        <f t="shared" si="4"/>
        <v>1</v>
      </c>
      <c r="P30" t="s">
        <v>17</v>
      </c>
      <c r="Q30">
        <f t="shared" si="5"/>
        <v>5</v>
      </c>
    </row>
    <row r="31" spans="1:17" x14ac:dyDescent="0.35">
      <c r="A31">
        <v>30</v>
      </c>
      <c r="F31" t="s">
        <v>49</v>
      </c>
      <c r="G31">
        <f t="shared" si="0"/>
        <v>0</v>
      </c>
      <c r="H31" t="s">
        <v>13</v>
      </c>
      <c r="I31">
        <f t="shared" si="1"/>
        <v>1</v>
      </c>
      <c r="J31" t="s">
        <v>14</v>
      </c>
      <c r="K31">
        <f t="shared" si="2"/>
        <v>1</v>
      </c>
      <c r="L31" t="s">
        <v>15</v>
      </c>
      <c r="M31">
        <f t="shared" si="3"/>
        <v>1</v>
      </c>
      <c r="N31" t="s">
        <v>16</v>
      </c>
      <c r="O31">
        <f t="shared" si="4"/>
        <v>1</v>
      </c>
      <c r="P31" t="s">
        <v>17</v>
      </c>
      <c r="Q31">
        <f t="shared" si="5"/>
        <v>4</v>
      </c>
    </row>
    <row r="32" spans="1:17" x14ac:dyDescent="0.35">
      <c r="A32">
        <v>31</v>
      </c>
      <c r="F32" t="s">
        <v>12</v>
      </c>
      <c r="G32">
        <f t="shared" si="0"/>
        <v>1</v>
      </c>
      <c r="H32" t="s">
        <v>13</v>
      </c>
      <c r="I32">
        <f t="shared" si="1"/>
        <v>1</v>
      </c>
      <c r="J32" t="s">
        <v>14</v>
      </c>
      <c r="K32">
        <f t="shared" si="2"/>
        <v>1</v>
      </c>
      <c r="L32" t="s">
        <v>15</v>
      </c>
      <c r="M32">
        <f t="shared" si="3"/>
        <v>1</v>
      </c>
      <c r="N32" t="s">
        <v>16</v>
      </c>
      <c r="O32">
        <f t="shared" si="4"/>
        <v>1</v>
      </c>
      <c r="P32" t="s">
        <v>17</v>
      </c>
      <c r="Q32">
        <f t="shared" si="5"/>
        <v>5</v>
      </c>
    </row>
    <row r="33" spans="1:17" x14ac:dyDescent="0.35">
      <c r="A33">
        <v>32</v>
      </c>
      <c r="F33" t="s">
        <v>18</v>
      </c>
      <c r="G33">
        <f t="shared" si="0"/>
        <v>0</v>
      </c>
      <c r="H33" t="s">
        <v>13</v>
      </c>
      <c r="I33">
        <f t="shared" si="1"/>
        <v>1</v>
      </c>
      <c r="J33" t="s">
        <v>14</v>
      </c>
      <c r="K33">
        <f t="shared" si="2"/>
        <v>1</v>
      </c>
      <c r="L33" t="s">
        <v>18</v>
      </c>
      <c r="M33">
        <f t="shared" si="3"/>
        <v>0</v>
      </c>
      <c r="N33" t="s">
        <v>16</v>
      </c>
      <c r="O33">
        <f t="shared" si="4"/>
        <v>1</v>
      </c>
      <c r="P33" t="s">
        <v>20</v>
      </c>
      <c r="Q33">
        <f t="shared" si="5"/>
        <v>3</v>
      </c>
    </row>
    <row r="34" spans="1:17" x14ac:dyDescent="0.35">
      <c r="A34">
        <v>33</v>
      </c>
      <c r="F34" t="s">
        <v>12</v>
      </c>
      <c r="G34">
        <f t="shared" si="0"/>
        <v>1</v>
      </c>
      <c r="H34" t="s">
        <v>32</v>
      </c>
      <c r="I34">
        <f t="shared" si="1"/>
        <v>0</v>
      </c>
      <c r="J34" t="s">
        <v>14</v>
      </c>
      <c r="K34">
        <f t="shared" si="2"/>
        <v>1</v>
      </c>
      <c r="L34" t="s">
        <v>15</v>
      </c>
      <c r="M34">
        <f t="shared" si="3"/>
        <v>1</v>
      </c>
      <c r="N34" t="s">
        <v>16</v>
      </c>
      <c r="O34">
        <f t="shared" si="4"/>
        <v>1</v>
      </c>
      <c r="P34" t="s">
        <v>17</v>
      </c>
      <c r="Q34">
        <f t="shared" si="5"/>
        <v>4</v>
      </c>
    </row>
    <row r="35" spans="1:17" x14ac:dyDescent="0.35">
      <c r="A35">
        <v>34</v>
      </c>
      <c r="F35" t="s">
        <v>12</v>
      </c>
      <c r="G35">
        <f t="shared" si="0"/>
        <v>1</v>
      </c>
      <c r="H35" t="s">
        <v>51</v>
      </c>
      <c r="I35">
        <f t="shared" si="1"/>
        <v>0</v>
      </c>
      <c r="J35" t="s">
        <v>14</v>
      </c>
      <c r="K35">
        <f t="shared" si="2"/>
        <v>1</v>
      </c>
      <c r="L35" t="s">
        <v>52</v>
      </c>
      <c r="M35">
        <f t="shared" si="3"/>
        <v>0</v>
      </c>
      <c r="N35" t="s">
        <v>39</v>
      </c>
      <c r="O35">
        <f t="shared" si="4"/>
        <v>0</v>
      </c>
      <c r="P35" t="s">
        <v>20</v>
      </c>
      <c r="Q35">
        <f t="shared" si="5"/>
        <v>2</v>
      </c>
    </row>
    <row r="36" spans="1:17" x14ac:dyDescent="0.35">
      <c r="A36">
        <v>35</v>
      </c>
      <c r="F36" t="s">
        <v>40</v>
      </c>
      <c r="G36">
        <f t="shared" si="0"/>
        <v>0</v>
      </c>
      <c r="H36" t="s">
        <v>13</v>
      </c>
      <c r="I36">
        <f t="shared" si="1"/>
        <v>1</v>
      </c>
      <c r="J36" t="s">
        <v>14</v>
      </c>
      <c r="K36">
        <f t="shared" si="2"/>
        <v>1</v>
      </c>
      <c r="L36" t="s">
        <v>22</v>
      </c>
      <c r="M36">
        <f t="shared" si="3"/>
        <v>0</v>
      </c>
      <c r="N36" t="s">
        <v>53</v>
      </c>
      <c r="O36">
        <f t="shared" si="4"/>
        <v>0</v>
      </c>
      <c r="P36" t="s">
        <v>20</v>
      </c>
      <c r="Q36">
        <f t="shared" si="5"/>
        <v>2</v>
      </c>
    </row>
    <row r="37" spans="1:17" x14ac:dyDescent="0.35">
      <c r="A37">
        <v>36</v>
      </c>
      <c r="F37" t="s">
        <v>12</v>
      </c>
      <c r="G37">
        <f t="shared" si="0"/>
        <v>1</v>
      </c>
      <c r="H37" t="s">
        <v>13</v>
      </c>
      <c r="I37">
        <f t="shared" si="1"/>
        <v>1</v>
      </c>
      <c r="J37" t="s">
        <v>14</v>
      </c>
      <c r="K37">
        <f t="shared" si="2"/>
        <v>1</v>
      </c>
      <c r="L37" t="s">
        <v>15</v>
      </c>
      <c r="M37">
        <f t="shared" si="3"/>
        <v>1</v>
      </c>
      <c r="N37" t="s">
        <v>16</v>
      </c>
      <c r="O37">
        <f t="shared" si="4"/>
        <v>1</v>
      </c>
      <c r="P37" t="s">
        <v>17</v>
      </c>
      <c r="Q37">
        <f t="shared" si="5"/>
        <v>5</v>
      </c>
    </row>
    <row r="38" spans="1:17" x14ac:dyDescent="0.35">
      <c r="A38">
        <v>37</v>
      </c>
      <c r="F38" t="s">
        <v>12</v>
      </c>
      <c r="G38">
        <f t="shared" si="0"/>
        <v>1</v>
      </c>
      <c r="H38" t="s">
        <v>13</v>
      </c>
      <c r="I38">
        <f t="shared" si="1"/>
        <v>1</v>
      </c>
      <c r="J38" t="s">
        <v>14</v>
      </c>
      <c r="K38">
        <f t="shared" si="2"/>
        <v>1</v>
      </c>
      <c r="L38" t="s">
        <v>45</v>
      </c>
      <c r="M38">
        <f t="shared" si="3"/>
        <v>0</v>
      </c>
      <c r="N38" t="s">
        <v>16</v>
      </c>
      <c r="O38">
        <f t="shared" si="4"/>
        <v>1</v>
      </c>
      <c r="P38" t="s">
        <v>34</v>
      </c>
      <c r="Q38">
        <f t="shared" si="5"/>
        <v>4</v>
      </c>
    </row>
    <row r="39" spans="1:17" x14ac:dyDescent="0.35">
      <c r="A39">
        <v>38</v>
      </c>
      <c r="F39" t="s">
        <v>38</v>
      </c>
      <c r="G39">
        <f t="shared" si="0"/>
        <v>0</v>
      </c>
      <c r="H39" t="s">
        <v>18</v>
      </c>
      <c r="I39">
        <f t="shared" si="1"/>
        <v>0</v>
      </c>
      <c r="J39" t="s">
        <v>33</v>
      </c>
      <c r="K39">
        <f t="shared" si="2"/>
        <v>0</v>
      </c>
      <c r="L39" t="s">
        <v>18</v>
      </c>
      <c r="M39">
        <f t="shared" si="3"/>
        <v>0</v>
      </c>
      <c r="N39" t="s">
        <v>52</v>
      </c>
      <c r="O39">
        <f t="shared" si="4"/>
        <v>0</v>
      </c>
      <c r="P39" t="s">
        <v>54</v>
      </c>
      <c r="Q39">
        <f t="shared" si="5"/>
        <v>0</v>
      </c>
    </row>
    <row r="40" spans="1:17" x14ac:dyDescent="0.35">
      <c r="A40">
        <v>39</v>
      </c>
      <c r="F40" t="s">
        <v>12</v>
      </c>
      <c r="G40">
        <f t="shared" si="0"/>
        <v>1</v>
      </c>
      <c r="H40" t="s">
        <v>13</v>
      </c>
      <c r="I40">
        <f t="shared" si="1"/>
        <v>1</v>
      </c>
      <c r="J40" t="s">
        <v>14</v>
      </c>
      <c r="K40">
        <f t="shared" si="2"/>
        <v>1</v>
      </c>
      <c r="L40" t="s">
        <v>55</v>
      </c>
      <c r="M40">
        <v>1</v>
      </c>
      <c r="N40" t="s">
        <v>16</v>
      </c>
      <c r="O40">
        <f t="shared" si="4"/>
        <v>1</v>
      </c>
      <c r="P40" t="s">
        <v>17</v>
      </c>
      <c r="Q40">
        <f t="shared" si="5"/>
        <v>5</v>
      </c>
    </row>
    <row r="41" spans="1:17" x14ac:dyDescent="0.35">
      <c r="A41">
        <v>40</v>
      </c>
      <c r="F41" t="s">
        <v>12</v>
      </c>
      <c r="G41">
        <f t="shared" si="0"/>
        <v>1</v>
      </c>
      <c r="H41" t="s">
        <v>13</v>
      </c>
      <c r="I41">
        <f t="shared" si="1"/>
        <v>1</v>
      </c>
      <c r="J41" t="s">
        <v>14</v>
      </c>
      <c r="K41">
        <f t="shared" si="2"/>
        <v>1</v>
      </c>
      <c r="L41" t="s">
        <v>18</v>
      </c>
      <c r="M41">
        <f t="shared" si="3"/>
        <v>0</v>
      </c>
      <c r="N41" t="s">
        <v>18</v>
      </c>
      <c r="O41">
        <f t="shared" si="4"/>
        <v>0</v>
      </c>
      <c r="P41" t="s">
        <v>34</v>
      </c>
      <c r="Q41">
        <f t="shared" si="5"/>
        <v>3</v>
      </c>
    </row>
    <row r="42" spans="1:17" x14ac:dyDescent="0.35">
      <c r="A42">
        <v>41</v>
      </c>
      <c r="F42" t="s">
        <v>40</v>
      </c>
      <c r="G42">
        <f t="shared" si="0"/>
        <v>0</v>
      </c>
      <c r="H42" t="s">
        <v>25</v>
      </c>
      <c r="I42">
        <f t="shared" si="1"/>
        <v>0</v>
      </c>
      <c r="J42" t="s">
        <v>18</v>
      </c>
      <c r="K42">
        <f t="shared" si="2"/>
        <v>0</v>
      </c>
      <c r="L42" t="s">
        <v>18</v>
      </c>
      <c r="M42">
        <f t="shared" si="3"/>
        <v>0</v>
      </c>
      <c r="N42" t="s">
        <v>56</v>
      </c>
      <c r="O42">
        <f t="shared" si="4"/>
        <v>0</v>
      </c>
      <c r="P42" t="s">
        <v>54</v>
      </c>
      <c r="Q42">
        <f t="shared" si="5"/>
        <v>0</v>
      </c>
    </row>
    <row r="43" spans="1:17" x14ac:dyDescent="0.35">
      <c r="A43">
        <v>42</v>
      </c>
      <c r="F43" t="s">
        <v>40</v>
      </c>
      <c r="G43">
        <f t="shared" si="0"/>
        <v>0</v>
      </c>
      <c r="H43" t="s">
        <v>13</v>
      </c>
      <c r="I43">
        <f t="shared" si="1"/>
        <v>1</v>
      </c>
      <c r="J43" t="s">
        <v>33</v>
      </c>
      <c r="K43">
        <f t="shared" si="2"/>
        <v>0</v>
      </c>
      <c r="L43" t="s">
        <v>15</v>
      </c>
      <c r="M43">
        <f t="shared" si="3"/>
        <v>1</v>
      </c>
      <c r="N43" t="s">
        <v>57</v>
      </c>
      <c r="O43">
        <f t="shared" si="4"/>
        <v>0</v>
      </c>
      <c r="P43" t="s">
        <v>20</v>
      </c>
      <c r="Q43">
        <f t="shared" si="5"/>
        <v>2</v>
      </c>
    </row>
    <row r="44" spans="1:17" x14ac:dyDescent="0.35">
      <c r="A44">
        <v>43</v>
      </c>
      <c r="F44" t="s">
        <v>12</v>
      </c>
      <c r="G44">
        <f t="shared" si="0"/>
        <v>1</v>
      </c>
      <c r="H44" t="s">
        <v>13</v>
      </c>
      <c r="I44">
        <f t="shared" si="1"/>
        <v>1</v>
      </c>
      <c r="J44" t="s">
        <v>14</v>
      </c>
      <c r="K44">
        <f t="shared" si="2"/>
        <v>1</v>
      </c>
      <c r="L44" t="s">
        <v>15</v>
      </c>
      <c r="M44">
        <f t="shared" si="3"/>
        <v>1</v>
      </c>
      <c r="N44" t="s">
        <v>16</v>
      </c>
      <c r="O44">
        <f t="shared" si="4"/>
        <v>1</v>
      </c>
      <c r="P44" t="s">
        <v>17</v>
      </c>
      <c r="Q44">
        <f t="shared" si="5"/>
        <v>5</v>
      </c>
    </row>
    <row r="45" spans="1:17" x14ac:dyDescent="0.35">
      <c r="A45">
        <v>44</v>
      </c>
      <c r="F45" t="s">
        <v>12</v>
      </c>
      <c r="G45">
        <f t="shared" si="0"/>
        <v>1</v>
      </c>
      <c r="H45" t="s">
        <v>13</v>
      </c>
      <c r="I45">
        <f t="shared" si="1"/>
        <v>1</v>
      </c>
      <c r="J45" t="s">
        <v>14</v>
      </c>
      <c r="K45">
        <f t="shared" si="2"/>
        <v>1</v>
      </c>
      <c r="L45" t="s">
        <v>15</v>
      </c>
      <c r="M45">
        <f t="shared" si="3"/>
        <v>1</v>
      </c>
      <c r="N45" t="s">
        <v>16</v>
      </c>
      <c r="O45">
        <f t="shared" si="4"/>
        <v>1</v>
      </c>
      <c r="P45" t="s">
        <v>17</v>
      </c>
      <c r="Q45">
        <f t="shared" si="5"/>
        <v>5</v>
      </c>
    </row>
    <row r="46" spans="1:17" x14ac:dyDescent="0.35">
      <c r="A46">
        <v>45</v>
      </c>
      <c r="F46" t="s">
        <v>40</v>
      </c>
      <c r="G46">
        <f t="shared" si="0"/>
        <v>0</v>
      </c>
      <c r="H46" t="s">
        <v>13</v>
      </c>
      <c r="I46">
        <f t="shared" si="1"/>
        <v>1</v>
      </c>
      <c r="J46" t="s">
        <v>14</v>
      </c>
      <c r="K46">
        <f t="shared" si="2"/>
        <v>1</v>
      </c>
      <c r="L46" t="s">
        <v>15</v>
      </c>
      <c r="M46">
        <f t="shared" si="3"/>
        <v>1</v>
      </c>
      <c r="N46" t="s">
        <v>16</v>
      </c>
      <c r="O46">
        <f t="shared" si="4"/>
        <v>1</v>
      </c>
      <c r="P46" t="s">
        <v>34</v>
      </c>
      <c r="Q46">
        <f t="shared" si="5"/>
        <v>4</v>
      </c>
    </row>
    <row r="47" spans="1:17" x14ac:dyDescent="0.35">
      <c r="A47">
        <v>46</v>
      </c>
      <c r="F47" t="s">
        <v>12</v>
      </c>
      <c r="G47">
        <f t="shared" si="0"/>
        <v>1</v>
      </c>
      <c r="H47" t="s">
        <v>13</v>
      </c>
      <c r="I47">
        <f t="shared" si="1"/>
        <v>1</v>
      </c>
      <c r="J47" t="s">
        <v>14</v>
      </c>
      <c r="K47">
        <f t="shared" si="2"/>
        <v>1</v>
      </c>
      <c r="L47" t="s">
        <v>15</v>
      </c>
      <c r="M47">
        <f t="shared" si="3"/>
        <v>1</v>
      </c>
      <c r="N47" t="s">
        <v>16</v>
      </c>
      <c r="O47">
        <f t="shared" si="4"/>
        <v>1</v>
      </c>
      <c r="P47" t="s">
        <v>17</v>
      </c>
      <c r="Q47">
        <f t="shared" si="5"/>
        <v>5</v>
      </c>
    </row>
    <row r="48" spans="1:17" x14ac:dyDescent="0.35">
      <c r="A48">
        <v>47</v>
      </c>
      <c r="F48" t="s">
        <v>38</v>
      </c>
      <c r="G48">
        <f t="shared" si="0"/>
        <v>0</v>
      </c>
      <c r="H48" t="s">
        <v>13</v>
      </c>
      <c r="I48">
        <f t="shared" si="1"/>
        <v>1</v>
      </c>
      <c r="J48" t="s">
        <v>14</v>
      </c>
      <c r="K48">
        <f t="shared" si="2"/>
        <v>1</v>
      </c>
      <c r="L48" t="s">
        <v>15</v>
      </c>
      <c r="M48">
        <f t="shared" si="3"/>
        <v>1</v>
      </c>
      <c r="N48" t="s">
        <v>16</v>
      </c>
      <c r="O48">
        <f t="shared" si="4"/>
        <v>1</v>
      </c>
      <c r="P48" t="s">
        <v>34</v>
      </c>
      <c r="Q48">
        <f t="shared" si="5"/>
        <v>4</v>
      </c>
    </row>
    <row r="49" spans="1:17" x14ac:dyDescent="0.35">
      <c r="A49">
        <v>48</v>
      </c>
      <c r="F49" t="s">
        <v>12</v>
      </c>
      <c r="G49">
        <f t="shared" si="0"/>
        <v>1</v>
      </c>
      <c r="H49" t="s">
        <v>58</v>
      </c>
      <c r="I49">
        <f t="shared" si="1"/>
        <v>0</v>
      </c>
      <c r="J49" t="s">
        <v>14</v>
      </c>
      <c r="K49">
        <f t="shared" si="2"/>
        <v>1</v>
      </c>
      <c r="L49" t="s">
        <v>18</v>
      </c>
      <c r="M49">
        <f t="shared" si="3"/>
        <v>0</v>
      </c>
      <c r="N49" t="s">
        <v>18</v>
      </c>
      <c r="O49">
        <f t="shared" si="4"/>
        <v>0</v>
      </c>
      <c r="P49" t="s">
        <v>30</v>
      </c>
      <c r="Q49">
        <f t="shared" si="5"/>
        <v>2</v>
      </c>
    </row>
    <row r="50" spans="1:17" x14ac:dyDescent="0.35">
      <c r="A50">
        <v>49</v>
      </c>
      <c r="F50" t="s">
        <v>12</v>
      </c>
      <c r="G50">
        <f t="shared" si="0"/>
        <v>1</v>
      </c>
      <c r="H50" t="s">
        <v>13</v>
      </c>
      <c r="I50">
        <f t="shared" si="1"/>
        <v>1</v>
      </c>
      <c r="J50" t="s">
        <v>18</v>
      </c>
      <c r="K50">
        <f t="shared" si="2"/>
        <v>0</v>
      </c>
      <c r="L50" t="s">
        <v>15</v>
      </c>
      <c r="M50">
        <f t="shared" si="3"/>
        <v>1</v>
      </c>
      <c r="N50" t="s">
        <v>16</v>
      </c>
      <c r="O50">
        <f t="shared" si="4"/>
        <v>1</v>
      </c>
      <c r="P50" t="s">
        <v>34</v>
      </c>
      <c r="Q50">
        <f t="shared" si="5"/>
        <v>4</v>
      </c>
    </row>
    <row r="51" spans="1:17" x14ac:dyDescent="0.35">
      <c r="A51">
        <v>50</v>
      </c>
      <c r="F51" t="s">
        <v>27</v>
      </c>
      <c r="G51">
        <v>1</v>
      </c>
      <c r="H51" t="s">
        <v>13</v>
      </c>
      <c r="I51">
        <f t="shared" si="1"/>
        <v>1</v>
      </c>
      <c r="J51" t="s">
        <v>14</v>
      </c>
      <c r="K51">
        <f t="shared" si="2"/>
        <v>1</v>
      </c>
      <c r="L51" t="s">
        <v>15</v>
      </c>
      <c r="M51">
        <f t="shared" si="3"/>
        <v>1</v>
      </c>
      <c r="N51" t="s">
        <v>16</v>
      </c>
      <c r="O51">
        <f t="shared" si="4"/>
        <v>1</v>
      </c>
      <c r="P51" t="s">
        <v>17</v>
      </c>
      <c r="Q51">
        <f t="shared" si="5"/>
        <v>5</v>
      </c>
    </row>
    <row r="52" spans="1:17" x14ac:dyDescent="0.35">
      <c r="A52">
        <v>51</v>
      </c>
      <c r="F52" t="s">
        <v>27</v>
      </c>
      <c r="G52">
        <v>1</v>
      </c>
      <c r="H52" t="s">
        <v>13</v>
      </c>
      <c r="I52">
        <f t="shared" si="1"/>
        <v>1</v>
      </c>
      <c r="J52" t="s">
        <v>14</v>
      </c>
      <c r="K52">
        <f t="shared" si="2"/>
        <v>1</v>
      </c>
      <c r="L52" t="s">
        <v>15</v>
      </c>
      <c r="M52">
        <f t="shared" si="3"/>
        <v>1</v>
      </c>
      <c r="N52" t="s">
        <v>16</v>
      </c>
      <c r="O52">
        <f t="shared" si="4"/>
        <v>1</v>
      </c>
      <c r="P52" t="s">
        <v>17</v>
      </c>
      <c r="Q52">
        <f t="shared" si="5"/>
        <v>5</v>
      </c>
    </row>
    <row r="53" spans="1:17" x14ac:dyDescent="0.35">
      <c r="A53">
        <v>52</v>
      </c>
      <c r="F53" t="s">
        <v>49</v>
      </c>
      <c r="G53">
        <f t="shared" si="0"/>
        <v>0</v>
      </c>
      <c r="H53" t="s">
        <v>13</v>
      </c>
      <c r="I53">
        <f t="shared" si="1"/>
        <v>1</v>
      </c>
      <c r="J53" t="s">
        <v>29</v>
      </c>
      <c r="K53">
        <f t="shared" si="2"/>
        <v>0</v>
      </c>
      <c r="L53" t="s">
        <v>15</v>
      </c>
      <c r="M53">
        <f t="shared" si="3"/>
        <v>1</v>
      </c>
      <c r="N53" t="s">
        <v>16</v>
      </c>
      <c r="O53">
        <f t="shared" si="4"/>
        <v>1</v>
      </c>
      <c r="P53" t="s">
        <v>34</v>
      </c>
      <c r="Q53">
        <f t="shared" si="5"/>
        <v>3</v>
      </c>
    </row>
    <row r="54" spans="1:17" x14ac:dyDescent="0.35">
      <c r="A54">
        <v>53</v>
      </c>
      <c r="F54" t="s">
        <v>27</v>
      </c>
      <c r="G54">
        <v>1</v>
      </c>
      <c r="H54" t="s">
        <v>32</v>
      </c>
      <c r="I54">
        <f t="shared" si="1"/>
        <v>0</v>
      </c>
      <c r="J54" t="s">
        <v>29</v>
      </c>
      <c r="K54">
        <f t="shared" si="2"/>
        <v>0</v>
      </c>
      <c r="L54" t="s">
        <v>15</v>
      </c>
      <c r="M54">
        <f t="shared" si="3"/>
        <v>1</v>
      </c>
      <c r="N54" t="s">
        <v>16</v>
      </c>
      <c r="O54">
        <f t="shared" si="4"/>
        <v>1</v>
      </c>
      <c r="P54" t="s">
        <v>34</v>
      </c>
      <c r="Q54">
        <f t="shared" si="5"/>
        <v>3</v>
      </c>
    </row>
    <row r="55" spans="1:17" x14ac:dyDescent="0.35">
      <c r="A55">
        <v>54</v>
      </c>
      <c r="F55" t="s">
        <v>27</v>
      </c>
      <c r="G55">
        <v>1</v>
      </c>
      <c r="H55" t="s">
        <v>13</v>
      </c>
      <c r="I55">
        <f t="shared" si="1"/>
        <v>1</v>
      </c>
      <c r="J55" t="s">
        <v>14</v>
      </c>
      <c r="K55">
        <f t="shared" si="2"/>
        <v>1</v>
      </c>
      <c r="L55" t="s">
        <v>15</v>
      </c>
      <c r="M55">
        <f t="shared" si="3"/>
        <v>1</v>
      </c>
      <c r="N55" t="s">
        <v>16</v>
      </c>
      <c r="O55">
        <f t="shared" si="4"/>
        <v>1</v>
      </c>
      <c r="P55" t="s">
        <v>17</v>
      </c>
      <c r="Q55">
        <f t="shared" si="5"/>
        <v>5</v>
      </c>
    </row>
    <row r="56" spans="1:17" x14ac:dyDescent="0.35">
      <c r="A56">
        <v>55</v>
      </c>
      <c r="F56" t="s">
        <v>27</v>
      </c>
      <c r="G56">
        <v>1</v>
      </c>
      <c r="H56" t="s">
        <v>13</v>
      </c>
      <c r="I56">
        <f t="shared" si="1"/>
        <v>1</v>
      </c>
      <c r="J56" t="s">
        <v>14</v>
      </c>
      <c r="K56">
        <f t="shared" si="2"/>
        <v>1</v>
      </c>
      <c r="L56" t="s">
        <v>15</v>
      </c>
      <c r="M56">
        <f t="shared" si="3"/>
        <v>1</v>
      </c>
      <c r="N56" t="s">
        <v>16</v>
      </c>
      <c r="O56">
        <f t="shared" si="4"/>
        <v>1</v>
      </c>
      <c r="P56" t="s">
        <v>17</v>
      </c>
      <c r="Q56">
        <f t="shared" si="5"/>
        <v>5</v>
      </c>
    </row>
    <row r="57" spans="1:17" x14ac:dyDescent="0.35">
      <c r="A57">
        <v>56</v>
      </c>
      <c r="F57" t="s">
        <v>12</v>
      </c>
      <c r="G57">
        <f t="shared" si="0"/>
        <v>1</v>
      </c>
      <c r="H57" t="s">
        <v>13</v>
      </c>
      <c r="I57">
        <f t="shared" si="1"/>
        <v>1</v>
      </c>
      <c r="J57" t="s">
        <v>14</v>
      </c>
      <c r="K57">
        <f t="shared" si="2"/>
        <v>1</v>
      </c>
      <c r="L57" t="s">
        <v>59</v>
      </c>
      <c r="M57">
        <f t="shared" si="3"/>
        <v>0</v>
      </c>
      <c r="N57" t="s">
        <v>18</v>
      </c>
      <c r="O57">
        <f t="shared" si="4"/>
        <v>0</v>
      </c>
      <c r="P57" t="s">
        <v>34</v>
      </c>
      <c r="Q57">
        <f t="shared" si="5"/>
        <v>3</v>
      </c>
    </row>
    <row r="58" spans="1:17" x14ac:dyDescent="0.35">
      <c r="A58">
        <v>57</v>
      </c>
      <c r="F58" t="s">
        <v>60</v>
      </c>
      <c r="G58">
        <f t="shared" si="0"/>
        <v>0</v>
      </c>
      <c r="H58" t="s">
        <v>61</v>
      </c>
      <c r="I58">
        <f t="shared" si="1"/>
        <v>0</v>
      </c>
      <c r="J58" t="s">
        <v>33</v>
      </c>
      <c r="K58">
        <f t="shared" si="2"/>
        <v>0</v>
      </c>
      <c r="L58" t="s">
        <v>19</v>
      </c>
      <c r="M58">
        <f t="shared" si="3"/>
        <v>0</v>
      </c>
      <c r="N58" t="s">
        <v>52</v>
      </c>
      <c r="O58">
        <f t="shared" si="4"/>
        <v>0</v>
      </c>
      <c r="P58" t="s">
        <v>44</v>
      </c>
      <c r="Q58">
        <f t="shared" si="5"/>
        <v>0</v>
      </c>
    </row>
    <row r="59" spans="1:17" x14ac:dyDescent="0.35">
      <c r="A59">
        <v>58</v>
      </c>
      <c r="F59" t="s">
        <v>27</v>
      </c>
      <c r="G59">
        <v>1</v>
      </c>
      <c r="H59" t="s">
        <v>13</v>
      </c>
      <c r="I59">
        <f t="shared" si="1"/>
        <v>1</v>
      </c>
      <c r="J59" t="s">
        <v>14</v>
      </c>
      <c r="K59">
        <f t="shared" si="2"/>
        <v>1</v>
      </c>
      <c r="L59" t="s">
        <v>15</v>
      </c>
      <c r="M59">
        <f t="shared" si="3"/>
        <v>1</v>
      </c>
      <c r="N59" t="s">
        <v>16</v>
      </c>
      <c r="O59">
        <f t="shared" si="4"/>
        <v>1</v>
      </c>
      <c r="P59" t="s">
        <v>17</v>
      </c>
      <c r="Q59">
        <f t="shared" si="5"/>
        <v>5</v>
      </c>
    </row>
    <row r="60" spans="1:17" x14ac:dyDescent="0.35">
      <c r="A60">
        <v>59</v>
      </c>
      <c r="F60" t="s">
        <v>40</v>
      </c>
      <c r="G60">
        <f t="shared" si="0"/>
        <v>0</v>
      </c>
      <c r="H60" t="s">
        <v>62</v>
      </c>
      <c r="I60">
        <f t="shared" si="1"/>
        <v>1</v>
      </c>
      <c r="J60" t="s">
        <v>14</v>
      </c>
      <c r="K60">
        <f t="shared" si="2"/>
        <v>1</v>
      </c>
      <c r="L60" t="s">
        <v>15</v>
      </c>
      <c r="M60">
        <f t="shared" si="3"/>
        <v>1</v>
      </c>
      <c r="N60" t="s">
        <v>16</v>
      </c>
      <c r="O60">
        <f t="shared" si="4"/>
        <v>1</v>
      </c>
      <c r="P60" t="s">
        <v>34</v>
      </c>
      <c r="Q60">
        <f t="shared" si="5"/>
        <v>4</v>
      </c>
    </row>
    <row r="61" spans="1:17" x14ac:dyDescent="0.35">
      <c r="A61">
        <v>60</v>
      </c>
      <c r="F61" t="s">
        <v>12</v>
      </c>
      <c r="G61">
        <f t="shared" si="0"/>
        <v>1</v>
      </c>
      <c r="H61" t="s">
        <v>13</v>
      </c>
      <c r="I61">
        <f t="shared" si="1"/>
        <v>1</v>
      </c>
      <c r="J61" t="s">
        <v>14</v>
      </c>
      <c r="K61">
        <f t="shared" si="2"/>
        <v>1</v>
      </c>
      <c r="L61" t="s">
        <v>15</v>
      </c>
      <c r="M61">
        <f t="shared" si="3"/>
        <v>1</v>
      </c>
      <c r="N61" t="s">
        <v>16</v>
      </c>
      <c r="O61">
        <f t="shared" si="4"/>
        <v>1</v>
      </c>
      <c r="P61" t="s">
        <v>17</v>
      </c>
      <c r="Q61">
        <f t="shared" si="5"/>
        <v>5</v>
      </c>
    </row>
    <row r="62" spans="1:17" x14ac:dyDescent="0.35">
      <c r="A62">
        <v>61</v>
      </c>
      <c r="F62" t="s">
        <v>12</v>
      </c>
      <c r="G62">
        <f t="shared" si="0"/>
        <v>1</v>
      </c>
      <c r="H62" t="s">
        <v>62</v>
      </c>
      <c r="I62">
        <f t="shared" si="1"/>
        <v>1</v>
      </c>
      <c r="J62" t="s">
        <v>33</v>
      </c>
      <c r="K62">
        <f t="shared" si="2"/>
        <v>0</v>
      </c>
      <c r="L62" t="s">
        <v>18</v>
      </c>
      <c r="M62">
        <f t="shared" si="3"/>
        <v>0</v>
      </c>
      <c r="N62" t="s">
        <v>18</v>
      </c>
      <c r="O62">
        <f t="shared" si="4"/>
        <v>0</v>
      </c>
      <c r="P62" t="s">
        <v>20</v>
      </c>
      <c r="Q62">
        <f t="shared" si="5"/>
        <v>2</v>
      </c>
    </row>
    <row r="63" spans="1:17" x14ac:dyDescent="0.35">
      <c r="A63">
        <v>62</v>
      </c>
      <c r="F63" t="s">
        <v>12</v>
      </c>
      <c r="G63">
        <f t="shared" si="0"/>
        <v>1</v>
      </c>
      <c r="H63" t="s">
        <v>63</v>
      </c>
      <c r="I63">
        <f t="shared" si="1"/>
        <v>0</v>
      </c>
      <c r="J63" t="s">
        <v>14</v>
      </c>
      <c r="K63">
        <f t="shared" si="2"/>
        <v>1</v>
      </c>
      <c r="L63" t="s">
        <v>59</v>
      </c>
      <c r="M63">
        <f t="shared" si="3"/>
        <v>0</v>
      </c>
      <c r="N63" t="s">
        <v>16</v>
      </c>
      <c r="O63">
        <f t="shared" si="4"/>
        <v>1</v>
      </c>
      <c r="P63" t="s">
        <v>34</v>
      </c>
      <c r="Q63">
        <f t="shared" si="5"/>
        <v>3</v>
      </c>
    </row>
    <row r="64" spans="1:17" x14ac:dyDescent="0.35">
      <c r="A64">
        <v>63</v>
      </c>
      <c r="F64" t="s">
        <v>64</v>
      </c>
      <c r="G64">
        <f t="shared" si="0"/>
        <v>0</v>
      </c>
      <c r="H64" t="s">
        <v>13</v>
      </c>
      <c r="I64">
        <f t="shared" si="1"/>
        <v>1</v>
      </c>
      <c r="J64" t="s">
        <v>14</v>
      </c>
      <c r="K64">
        <f t="shared" si="2"/>
        <v>1</v>
      </c>
      <c r="L64" t="s">
        <v>15</v>
      </c>
      <c r="M64">
        <f t="shared" si="3"/>
        <v>1</v>
      </c>
      <c r="N64" t="s">
        <v>23</v>
      </c>
      <c r="O64">
        <f t="shared" si="4"/>
        <v>0</v>
      </c>
      <c r="P64" t="s">
        <v>34</v>
      </c>
      <c r="Q64">
        <f t="shared" si="5"/>
        <v>3</v>
      </c>
    </row>
    <row r="65" spans="1:16" x14ac:dyDescent="0.35">
      <c r="A65" t="s">
        <v>11</v>
      </c>
      <c r="B65" t="s">
        <v>65</v>
      </c>
      <c r="C65" t="s">
        <v>11</v>
      </c>
      <c r="D65" t="s">
        <v>11</v>
      </c>
      <c r="E65" t="s">
        <v>11</v>
      </c>
      <c r="F65" t="s">
        <v>66</v>
      </c>
      <c r="H65" t="s">
        <v>67</v>
      </c>
      <c r="J65" t="s">
        <v>67</v>
      </c>
      <c r="L65" t="s">
        <v>66</v>
      </c>
      <c r="N65" t="s">
        <v>68</v>
      </c>
      <c r="P65" t="s">
        <v>69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8"/>
  <sheetViews>
    <sheetView workbookViewId="0">
      <selection activeCell="A4" sqref="A4"/>
    </sheetView>
  </sheetViews>
  <sheetFormatPr baseColWidth="10" defaultColWidth="8.7265625" defaultRowHeight="14.5" x14ac:dyDescent="0.35"/>
  <cols>
    <col min="1" max="1" width="75" customWidth="1"/>
    <col min="2" max="3" width="10" customWidth="1"/>
  </cols>
  <sheetData>
    <row r="1" spans="1:1" x14ac:dyDescent="0.35">
      <c r="A1" t="s">
        <v>70</v>
      </c>
    </row>
    <row r="3" spans="1:1" x14ac:dyDescent="0.35">
      <c r="A3" t="s">
        <v>71</v>
      </c>
    </row>
    <row r="4" spans="1:1" x14ac:dyDescent="0.35">
      <c r="A4" t="s">
        <v>72</v>
      </c>
    </row>
    <row r="5" spans="1:1" x14ac:dyDescent="0.35">
      <c r="A5" t="s">
        <v>73</v>
      </c>
    </row>
    <row r="6" spans="1:1" x14ac:dyDescent="0.35">
      <c r="A6" t="s">
        <v>73</v>
      </c>
    </row>
    <row r="7" spans="1:1" x14ac:dyDescent="0.35">
      <c r="A7" t="s">
        <v>72</v>
      </c>
    </row>
    <row r="8" spans="1:1" x14ac:dyDescent="0.35">
      <c r="A8" t="s">
        <v>73</v>
      </c>
    </row>
    <row r="9" spans="1:1" x14ac:dyDescent="0.35">
      <c r="A9" t="s">
        <v>73</v>
      </c>
    </row>
    <row r="10" spans="1:1" x14ac:dyDescent="0.35">
      <c r="A10" t="s">
        <v>73</v>
      </c>
    </row>
    <row r="11" spans="1:1" x14ac:dyDescent="0.35">
      <c r="A11" t="s">
        <v>72</v>
      </c>
    </row>
    <row r="12" spans="1:1" x14ac:dyDescent="0.35">
      <c r="A12" t="s">
        <v>73</v>
      </c>
    </row>
    <row r="13" spans="1:1" x14ac:dyDescent="0.35">
      <c r="A13" t="s">
        <v>73</v>
      </c>
    </row>
    <row r="14" spans="1:1" x14ac:dyDescent="0.35">
      <c r="A14" t="s">
        <v>73</v>
      </c>
    </row>
    <row r="15" spans="1:1" x14ac:dyDescent="0.35">
      <c r="A15" t="s">
        <v>73</v>
      </c>
    </row>
    <row r="16" spans="1:1" x14ac:dyDescent="0.35">
      <c r="A16" t="s">
        <v>73</v>
      </c>
    </row>
    <row r="17" spans="1:1" x14ac:dyDescent="0.35">
      <c r="A17" t="s">
        <v>73</v>
      </c>
    </row>
    <row r="18" spans="1:1" x14ac:dyDescent="0.35">
      <c r="A18" t="s">
        <v>73</v>
      </c>
    </row>
    <row r="19" spans="1:1" x14ac:dyDescent="0.35">
      <c r="A19" t="s">
        <v>72</v>
      </c>
    </row>
    <row r="20" spans="1:1" x14ac:dyDescent="0.35">
      <c r="A20" t="s">
        <v>72</v>
      </c>
    </row>
    <row r="21" spans="1:1" x14ac:dyDescent="0.35">
      <c r="A21" t="s">
        <v>74</v>
      </c>
    </row>
    <row r="22" spans="1:1" x14ac:dyDescent="0.35">
      <c r="A22" t="s">
        <v>72</v>
      </c>
    </row>
    <row r="23" spans="1:1" x14ac:dyDescent="0.35">
      <c r="A23" t="s">
        <v>72</v>
      </c>
    </row>
    <row r="24" spans="1:1" x14ac:dyDescent="0.35">
      <c r="A24" t="s">
        <v>74</v>
      </c>
    </row>
    <row r="25" spans="1:1" x14ac:dyDescent="0.35">
      <c r="A25" t="s">
        <v>74</v>
      </c>
    </row>
    <row r="26" spans="1:1" x14ac:dyDescent="0.35">
      <c r="A26" t="s">
        <v>72</v>
      </c>
    </row>
    <row r="27" spans="1:1" x14ac:dyDescent="0.35">
      <c r="A27" t="s">
        <v>74</v>
      </c>
    </row>
    <row r="28" spans="1:1" x14ac:dyDescent="0.35">
      <c r="A28" t="s">
        <v>74</v>
      </c>
    </row>
    <row r="29" spans="1:1" x14ac:dyDescent="0.35">
      <c r="A29" t="s">
        <v>72</v>
      </c>
    </row>
    <row r="30" spans="1:1" x14ac:dyDescent="0.35">
      <c r="A30" t="s">
        <v>72</v>
      </c>
    </row>
    <row r="31" spans="1:1" x14ac:dyDescent="0.35">
      <c r="A31" t="s">
        <v>72</v>
      </c>
    </row>
    <row r="32" spans="1:1" x14ac:dyDescent="0.35">
      <c r="A32" t="s">
        <v>73</v>
      </c>
    </row>
    <row r="33" spans="1:1" x14ac:dyDescent="0.35">
      <c r="A33" t="s">
        <v>72</v>
      </c>
    </row>
    <row r="34" spans="1:1" x14ac:dyDescent="0.35">
      <c r="A34" t="s">
        <v>72</v>
      </c>
    </row>
    <row r="35" spans="1:1" x14ac:dyDescent="0.35">
      <c r="A35" t="s">
        <v>72</v>
      </c>
    </row>
    <row r="36" spans="1:1" x14ac:dyDescent="0.35">
      <c r="A36" t="s">
        <v>72</v>
      </c>
    </row>
    <row r="37" spans="1:1" x14ac:dyDescent="0.35">
      <c r="A37" t="s">
        <v>72</v>
      </c>
    </row>
    <row r="38" spans="1:1" x14ac:dyDescent="0.35">
      <c r="A38" t="s">
        <v>72</v>
      </c>
    </row>
    <row r="39" spans="1:1" x14ac:dyDescent="0.35">
      <c r="A39" t="s">
        <v>72</v>
      </c>
    </row>
    <row r="40" spans="1:1" x14ac:dyDescent="0.35">
      <c r="A40" t="s">
        <v>72</v>
      </c>
    </row>
    <row r="41" spans="1:1" x14ac:dyDescent="0.35">
      <c r="A41" t="s">
        <v>72</v>
      </c>
    </row>
    <row r="42" spans="1:1" x14ac:dyDescent="0.35">
      <c r="A42" t="s">
        <v>72</v>
      </c>
    </row>
    <row r="43" spans="1:1" x14ac:dyDescent="0.35">
      <c r="A43" t="s">
        <v>72</v>
      </c>
    </row>
    <row r="44" spans="1:1" x14ac:dyDescent="0.35">
      <c r="A44" t="s">
        <v>72</v>
      </c>
    </row>
    <row r="45" spans="1:1" x14ac:dyDescent="0.35">
      <c r="A45" t="s">
        <v>72</v>
      </c>
    </row>
    <row r="46" spans="1:1" x14ac:dyDescent="0.35">
      <c r="A46" t="s">
        <v>72</v>
      </c>
    </row>
    <row r="47" spans="1:1" x14ac:dyDescent="0.35">
      <c r="A47" t="s">
        <v>74</v>
      </c>
    </row>
    <row r="48" spans="1:1" x14ac:dyDescent="0.35">
      <c r="A48" t="s">
        <v>72</v>
      </c>
    </row>
    <row r="49" spans="1:1" x14ac:dyDescent="0.35">
      <c r="A49" t="s">
        <v>75</v>
      </c>
    </row>
    <row r="50" spans="1:1" x14ac:dyDescent="0.35">
      <c r="A50" t="s">
        <v>72</v>
      </c>
    </row>
    <row r="51" spans="1:1" x14ac:dyDescent="0.35">
      <c r="A51" t="s">
        <v>72</v>
      </c>
    </row>
    <row r="52" spans="1:1" x14ac:dyDescent="0.35">
      <c r="A52" t="s">
        <v>72</v>
      </c>
    </row>
    <row r="53" spans="1:1" x14ac:dyDescent="0.35">
      <c r="A53" t="s">
        <v>73</v>
      </c>
    </row>
    <row r="54" spans="1:1" x14ac:dyDescent="0.35">
      <c r="A54" t="s">
        <v>72</v>
      </c>
    </row>
    <row r="55" spans="1:1" x14ac:dyDescent="0.35">
      <c r="A55" t="s">
        <v>72</v>
      </c>
    </row>
    <row r="56" spans="1:1" x14ac:dyDescent="0.35">
      <c r="A56" t="s">
        <v>74</v>
      </c>
    </row>
    <row r="57" spans="1:1" x14ac:dyDescent="0.35">
      <c r="A57" t="s">
        <v>72</v>
      </c>
    </row>
    <row r="58" spans="1:1" x14ac:dyDescent="0.35">
      <c r="A58" t="s">
        <v>76</v>
      </c>
    </row>
    <row r="59" spans="1:1" x14ac:dyDescent="0.35">
      <c r="A59" t="s">
        <v>74</v>
      </c>
    </row>
    <row r="60" spans="1:1" x14ac:dyDescent="0.35">
      <c r="A60" t="s">
        <v>74</v>
      </c>
    </row>
    <row r="61" spans="1:1" x14ac:dyDescent="0.35">
      <c r="A61" t="s">
        <v>74</v>
      </c>
    </row>
    <row r="62" spans="1:1" x14ac:dyDescent="0.35">
      <c r="A62" t="s">
        <v>72</v>
      </c>
    </row>
    <row r="63" spans="1:1" x14ac:dyDescent="0.35">
      <c r="A63" t="s">
        <v>76</v>
      </c>
    </row>
    <row r="64" spans="1:1" x14ac:dyDescent="0.35">
      <c r="A64" t="s">
        <v>74</v>
      </c>
    </row>
    <row r="65" spans="1:1" x14ac:dyDescent="0.35">
      <c r="A65" t="s">
        <v>72</v>
      </c>
    </row>
    <row r="66" spans="1:1" x14ac:dyDescent="0.35">
      <c r="A66" t="s">
        <v>72</v>
      </c>
    </row>
    <row r="67" spans="1:1" x14ac:dyDescent="0.35">
      <c r="A67" t="s">
        <v>76</v>
      </c>
    </row>
    <row r="68" spans="1:1" x14ac:dyDescent="0.35">
      <c r="A68" t="s">
        <v>74</v>
      </c>
    </row>
    <row r="69" spans="1:1" x14ac:dyDescent="0.35">
      <c r="A69" t="s">
        <v>72</v>
      </c>
    </row>
    <row r="70" spans="1:1" x14ac:dyDescent="0.35">
      <c r="A70" t="s">
        <v>72</v>
      </c>
    </row>
    <row r="71" spans="1:1" x14ac:dyDescent="0.35">
      <c r="A71" t="s">
        <v>74</v>
      </c>
    </row>
    <row r="72" spans="1:1" x14ac:dyDescent="0.35">
      <c r="A72" t="s">
        <v>72</v>
      </c>
    </row>
    <row r="73" spans="1:1" x14ac:dyDescent="0.35">
      <c r="A73" t="s">
        <v>72</v>
      </c>
    </row>
    <row r="74" spans="1:1" x14ac:dyDescent="0.35">
      <c r="A74" t="s">
        <v>74</v>
      </c>
    </row>
    <row r="75" spans="1:1" x14ac:dyDescent="0.35">
      <c r="A75" t="s">
        <v>72</v>
      </c>
    </row>
    <row r="76" spans="1:1" x14ac:dyDescent="0.35">
      <c r="A76" t="s">
        <v>72</v>
      </c>
    </row>
    <row r="77" spans="1:1" x14ac:dyDescent="0.35">
      <c r="A77" t="s">
        <v>75</v>
      </c>
    </row>
    <row r="78" spans="1:1" x14ac:dyDescent="0.35">
      <c r="A78" t="s">
        <v>72</v>
      </c>
    </row>
    <row r="79" spans="1:1" x14ac:dyDescent="0.35">
      <c r="A79" t="s">
        <v>75</v>
      </c>
    </row>
    <row r="80" spans="1:1" x14ac:dyDescent="0.35">
      <c r="A80" t="s">
        <v>72</v>
      </c>
    </row>
    <row r="81" spans="1:3" x14ac:dyDescent="0.35">
      <c r="A81" t="s">
        <v>72</v>
      </c>
    </row>
    <row r="82" spans="1:3" x14ac:dyDescent="0.35">
      <c r="A82" t="s">
        <v>75</v>
      </c>
    </row>
    <row r="83" spans="1:3" x14ac:dyDescent="0.35">
      <c r="A83" t="s">
        <v>74</v>
      </c>
    </row>
    <row r="84" spans="1:3" x14ac:dyDescent="0.35">
      <c r="A84" t="s">
        <v>74</v>
      </c>
    </row>
    <row r="87" spans="1:3" x14ac:dyDescent="0.35">
      <c r="A87" t="s">
        <v>77</v>
      </c>
      <c r="B87">
        <v>63</v>
      </c>
      <c r="C87" t="s">
        <v>78</v>
      </c>
    </row>
    <row r="88" spans="1:3" x14ac:dyDescent="0.35">
      <c r="A88" t="s">
        <v>79</v>
      </c>
      <c r="B88">
        <v>61</v>
      </c>
      <c r="C88" t="s">
        <v>80</v>
      </c>
    </row>
    <row r="89" spans="1:3" x14ac:dyDescent="0.35">
      <c r="A89" t="s">
        <v>81</v>
      </c>
      <c r="B89">
        <v>43</v>
      </c>
      <c r="C89" t="s">
        <v>82</v>
      </c>
    </row>
    <row r="90" spans="1:3" x14ac:dyDescent="0.35">
      <c r="A90" t="s">
        <v>83</v>
      </c>
      <c r="B90">
        <v>43</v>
      </c>
      <c r="C90" t="s">
        <v>66</v>
      </c>
    </row>
    <row r="92" spans="1:3" x14ac:dyDescent="0.35">
      <c r="A92" t="s">
        <v>84</v>
      </c>
      <c r="B92">
        <v>1</v>
      </c>
      <c r="C92" t="s">
        <v>78</v>
      </c>
    </row>
    <row r="93" spans="1:3" x14ac:dyDescent="0.35">
      <c r="A93" t="s">
        <v>85</v>
      </c>
      <c r="B93">
        <v>0.7</v>
      </c>
      <c r="C93" t="s">
        <v>82</v>
      </c>
    </row>
    <row r="94" spans="1:3" x14ac:dyDescent="0.35">
      <c r="A94" t="s">
        <v>86</v>
      </c>
      <c r="B94">
        <v>0.68</v>
      </c>
      <c r="C94" t="s">
        <v>66</v>
      </c>
    </row>
    <row r="97" spans="1:2" x14ac:dyDescent="0.35">
      <c r="A97" t="s">
        <v>87</v>
      </c>
      <c r="B97">
        <v>0</v>
      </c>
    </row>
    <row r="98" spans="1:2" x14ac:dyDescent="0.35">
      <c r="A98" t="s">
        <v>88</v>
      </c>
      <c r="B98">
        <v>81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2"/>
  <sheetViews>
    <sheetView workbookViewId="0"/>
  </sheetViews>
  <sheetFormatPr baseColWidth="10" defaultColWidth="8.7265625" defaultRowHeight="14.5" x14ac:dyDescent="0.35"/>
  <cols>
    <col min="1" max="1" width="75" customWidth="1"/>
    <col min="2" max="3" width="10" customWidth="1"/>
  </cols>
  <sheetData>
    <row r="1" spans="1:1" x14ac:dyDescent="0.35">
      <c r="A1" t="s">
        <v>89</v>
      </c>
    </row>
    <row r="3" spans="1:1" x14ac:dyDescent="0.35">
      <c r="A3" t="s">
        <v>71</v>
      </c>
    </row>
    <row r="4" spans="1:1" x14ac:dyDescent="0.35">
      <c r="A4" t="s">
        <v>90</v>
      </c>
    </row>
    <row r="5" spans="1:1" x14ac:dyDescent="0.35">
      <c r="A5" t="s">
        <v>90</v>
      </c>
    </row>
    <row r="6" spans="1:1" x14ac:dyDescent="0.35">
      <c r="A6" t="s">
        <v>90</v>
      </c>
    </row>
    <row r="7" spans="1:1" x14ac:dyDescent="0.35">
      <c r="A7" t="s">
        <v>90</v>
      </c>
    </row>
    <row r="8" spans="1:1" x14ac:dyDescent="0.35">
      <c r="A8" t="s">
        <v>90</v>
      </c>
    </row>
    <row r="9" spans="1:1" x14ac:dyDescent="0.35">
      <c r="A9" t="s">
        <v>90</v>
      </c>
    </row>
    <row r="10" spans="1:1" x14ac:dyDescent="0.35">
      <c r="A10" t="s">
        <v>90</v>
      </c>
    </row>
    <row r="11" spans="1:1" x14ac:dyDescent="0.35">
      <c r="A11" t="s">
        <v>90</v>
      </c>
    </row>
    <row r="12" spans="1:1" x14ac:dyDescent="0.35">
      <c r="A12" t="s">
        <v>90</v>
      </c>
    </row>
    <row r="13" spans="1:1" x14ac:dyDescent="0.35">
      <c r="A13" t="s">
        <v>90</v>
      </c>
    </row>
    <row r="14" spans="1:1" x14ac:dyDescent="0.35">
      <c r="A14" t="s">
        <v>91</v>
      </c>
    </row>
    <row r="15" spans="1:1" x14ac:dyDescent="0.35">
      <c r="A15" t="s">
        <v>90</v>
      </c>
    </row>
    <row r="16" spans="1:1" x14ac:dyDescent="0.35">
      <c r="A16" t="s">
        <v>92</v>
      </c>
    </row>
    <row r="17" spans="1:1" x14ac:dyDescent="0.35">
      <c r="A17" t="s">
        <v>93</v>
      </c>
    </row>
    <row r="18" spans="1:1" x14ac:dyDescent="0.35">
      <c r="A18" t="s">
        <v>90</v>
      </c>
    </row>
    <row r="19" spans="1:1" x14ac:dyDescent="0.35">
      <c r="A19" t="s">
        <v>90</v>
      </c>
    </row>
    <row r="20" spans="1:1" x14ac:dyDescent="0.35">
      <c r="A20" t="s">
        <v>90</v>
      </c>
    </row>
    <row r="21" spans="1:1" x14ac:dyDescent="0.35">
      <c r="A21" t="s">
        <v>90</v>
      </c>
    </row>
    <row r="22" spans="1:1" x14ac:dyDescent="0.35">
      <c r="A22" t="s">
        <v>90</v>
      </c>
    </row>
    <row r="23" spans="1:1" x14ac:dyDescent="0.35">
      <c r="A23" t="s">
        <v>90</v>
      </c>
    </row>
    <row r="24" spans="1:1" x14ac:dyDescent="0.35">
      <c r="A24" t="s">
        <v>90</v>
      </c>
    </row>
    <row r="25" spans="1:1" x14ac:dyDescent="0.35">
      <c r="A25" t="s">
        <v>90</v>
      </c>
    </row>
    <row r="26" spans="1:1" x14ac:dyDescent="0.35">
      <c r="A26" t="s">
        <v>90</v>
      </c>
    </row>
    <row r="27" spans="1:1" x14ac:dyDescent="0.35">
      <c r="A27" t="s">
        <v>90</v>
      </c>
    </row>
    <row r="28" spans="1:1" x14ac:dyDescent="0.35">
      <c r="A28" t="s">
        <v>90</v>
      </c>
    </row>
    <row r="29" spans="1:1" x14ac:dyDescent="0.35">
      <c r="A29" t="s">
        <v>92</v>
      </c>
    </row>
    <row r="30" spans="1:1" x14ac:dyDescent="0.35">
      <c r="A30" t="s">
        <v>90</v>
      </c>
    </row>
    <row r="31" spans="1:1" x14ac:dyDescent="0.35">
      <c r="A31" t="s">
        <v>90</v>
      </c>
    </row>
    <row r="32" spans="1:1" x14ac:dyDescent="0.35">
      <c r="A32" t="s">
        <v>92</v>
      </c>
    </row>
    <row r="33" spans="1:1" x14ac:dyDescent="0.35">
      <c r="A33" t="s">
        <v>90</v>
      </c>
    </row>
    <row r="34" spans="1:1" x14ac:dyDescent="0.35">
      <c r="A34" t="s">
        <v>90</v>
      </c>
    </row>
    <row r="35" spans="1:1" x14ac:dyDescent="0.35">
      <c r="A35" t="s">
        <v>93</v>
      </c>
    </row>
    <row r="36" spans="1:1" x14ac:dyDescent="0.35">
      <c r="A36" t="s">
        <v>90</v>
      </c>
    </row>
    <row r="37" spans="1:1" x14ac:dyDescent="0.35">
      <c r="A37" t="s">
        <v>93</v>
      </c>
    </row>
    <row r="38" spans="1:1" x14ac:dyDescent="0.35">
      <c r="A38" t="s">
        <v>90</v>
      </c>
    </row>
    <row r="39" spans="1:1" x14ac:dyDescent="0.35">
      <c r="A39" t="s">
        <v>90</v>
      </c>
    </row>
    <row r="40" spans="1:1" x14ac:dyDescent="0.35">
      <c r="A40" t="s">
        <v>90</v>
      </c>
    </row>
    <row r="41" spans="1:1" x14ac:dyDescent="0.35">
      <c r="A41" t="s">
        <v>90</v>
      </c>
    </row>
    <row r="42" spans="1:1" x14ac:dyDescent="0.35">
      <c r="A42" t="s">
        <v>94</v>
      </c>
    </row>
    <row r="43" spans="1:1" x14ac:dyDescent="0.35">
      <c r="A43" t="s">
        <v>90</v>
      </c>
    </row>
    <row r="44" spans="1:1" x14ac:dyDescent="0.35">
      <c r="A44" t="s">
        <v>90</v>
      </c>
    </row>
    <row r="45" spans="1:1" x14ac:dyDescent="0.35">
      <c r="A45" t="s">
        <v>90</v>
      </c>
    </row>
    <row r="46" spans="1:1" x14ac:dyDescent="0.35">
      <c r="A46" t="s">
        <v>90</v>
      </c>
    </row>
    <row r="47" spans="1:1" x14ac:dyDescent="0.35">
      <c r="A47" t="s">
        <v>90</v>
      </c>
    </row>
    <row r="48" spans="1:1" x14ac:dyDescent="0.35">
      <c r="A48" t="s">
        <v>90</v>
      </c>
    </row>
    <row r="49" spans="1:1" x14ac:dyDescent="0.35">
      <c r="A49" t="s">
        <v>90</v>
      </c>
    </row>
    <row r="50" spans="1:1" x14ac:dyDescent="0.35">
      <c r="A50" t="s">
        <v>90</v>
      </c>
    </row>
    <row r="51" spans="1:1" x14ac:dyDescent="0.35">
      <c r="A51" t="s">
        <v>90</v>
      </c>
    </row>
    <row r="52" spans="1:1" x14ac:dyDescent="0.35">
      <c r="A52" t="s">
        <v>90</v>
      </c>
    </row>
    <row r="53" spans="1:1" x14ac:dyDescent="0.35">
      <c r="A53" t="s">
        <v>90</v>
      </c>
    </row>
    <row r="54" spans="1:1" x14ac:dyDescent="0.35">
      <c r="A54" t="s">
        <v>90</v>
      </c>
    </row>
    <row r="55" spans="1:1" x14ac:dyDescent="0.35">
      <c r="A55" t="s">
        <v>90</v>
      </c>
    </row>
    <row r="56" spans="1:1" x14ac:dyDescent="0.35">
      <c r="A56" t="s">
        <v>90</v>
      </c>
    </row>
    <row r="57" spans="1:1" x14ac:dyDescent="0.35">
      <c r="A57" t="s">
        <v>90</v>
      </c>
    </row>
    <row r="58" spans="1:1" x14ac:dyDescent="0.35">
      <c r="A58" t="s">
        <v>90</v>
      </c>
    </row>
    <row r="59" spans="1:1" x14ac:dyDescent="0.35">
      <c r="A59" t="s">
        <v>91</v>
      </c>
    </row>
    <row r="60" spans="1:1" x14ac:dyDescent="0.35">
      <c r="A60" t="s">
        <v>90</v>
      </c>
    </row>
    <row r="61" spans="1:1" x14ac:dyDescent="0.35">
      <c r="A61" t="s">
        <v>93</v>
      </c>
    </row>
    <row r="62" spans="1:1" x14ac:dyDescent="0.35">
      <c r="A62" t="s">
        <v>93</v>
      </c>
    </row>
    <row r="63" spans="1:1" x14ac:dyDescent="0.35">
      <c r="A63" t="s">
        <v>90</v>
      </c>
    </row>
    <row r="64" spans="1:1" x14ac:dyDescent="0.35">
      <c r="A64" t="s">
        <v>90</v>
      </c>
    </row>
    <row r="65" spans="1:1" x14ac:dyDescent="0.35">
      <c r="A65" t="s">
        <v>93</v>
      </c>
    </row>
    <row r="66" spans="1:1" x14ac:dyDescent="0.35">
      <c r="A66" t="s">
        <v>93</v>
      </c>
    </row>
    <row r="67" spans="1:1" x14ac:dyDescent="0.35">
      <c r="A67" t="s">
        <v>90</v>
      </c>
    </row>
    <row r="68" spans="1:1" x14ac:dyDescent="0.35">
      <c r="A68" t="s">
        <v>90</v>
      </c>
    </row>
    <row r="69" spans="1:1" x14ac:dyDescent="0.35">
      <c r="A69" t="s">
        <v>93</v>
      </c>
    </row>
    <row r="70" spans="1:1" x14ac:dyDescent="0.35">
      <c r="A70" t="s">
        <v>93</v>
      </c>
    </row>
    <row r="71" spans="1:1" x14ac:dyDescent="0.35">
      <c r="A71" t="s">
        <v>90</v>
      </c>
    </row>
    <row r="72" spans="1:1" x14ac:dyDescent="0.35">
      <c r="A72" t="s">
        <v>95</v>
      </c>
    </row>
    <row r="73" spans="1:1" x14ac:dyDescent="0.35">
      <c r="A73" t="s">
        <v>90</v>
      </c>
    </row>
    <row r="74" spans="1:1" x14ac:dyDescent="0.35">
      <c r="A74" t="s">
        <v>90</v>
      </c>
    </row>
    <row r="75" spans="1:1" x14ac:dyDescent="0.35">
      <c r="A75" t="s">
        <v>96</v>
      </c>
    </row>
    <row r="76" spans="1:1" x14ac:dyDescent="0.35">
      <c r="A76" t="s">
        <v>97</v>
      </c>
    </row>
    <row r="77" spans="1:1" x14ac:dyDescent="0.35">
      <c r="A77" t="s">
        <v>98</v>
      </c>
    </row>
    <row r="78" spans="1:1" x14ac:dyDescent="0.35">
      <c r="A78" t="s">
        <v>99</v>
      </c>
    </row>
    <row r="81" spans="1:3" x14ac:dyDescent="0.35">
      <c r="A81" t="s">
        <v>77</v>
      </c>
      <c r="B81">
        <v>63</v>
      </c>
      <c r="C81" t="s">
        <v>78</v>
      </c>
    </row>
    <row r="82" spans="1:3" x14ac:dyDescent="0.35">
      <c r="A82" t="s">
        <v>79</v>
      </c>
      <c r="B82">
        <v>61</v>
      </c>
      <c r="C82" t="s">
        <v>80</v>
      </c>
    </row>
    <row r="83" spans="1:3" x14ac:dyDescent="0.35">
      <c r="A83" t="s">
        <v>81</v>
      </c>
      <c r="B83">
        <v>53</v>
      </c>
      <c r="C83" t="s">
        <v>100</v>
      </c>
    </row>
    <row r="84" spans="1:3" x14ac:dyDescent="0.35">
      <c r="A84" t="s">
        <v>83</v>
      </c>
      <c r="B84">
        <v>53</v>
      </c>
      <c r="C84" t="s">
        <v>67</v>
      </c>
    </row>
    <row r="86" spans="1:3" x14ac:dyDescent="0.35">
      <c r="A86" t="s">
        <v>84</v>
      </c>
      <c r="B86">
        <v>2</v>
      </c>
      <c r="C86" t="s">
        <v>78</v>
      </c>
    </row>
    <row r="87" spans="1:3" x14ac:dyDescent="0.35">
      <c r="A87" t="s">
        <v>85</v>
      </c>
      <c r="B87">
        <v>1.74</v>
      </c>
      <c r="C87" t="s">
        <v>100</v>
      </c>
    </row>
    <row r="88" spans="1:3" x14ac:dyDescent="0.35">
      <c r="A88" t="s">
        <v>86</v>
      </c>
      <c r="B88">
        <v>1.68</v>
      </c>
      <c r="C88" t="s">
        <v>67</v>
      </c>
    </row>
    <row r="91" spans="1:3" x14ac:dyDescent="0.35">
      <c r="A91" t="s">
        <v>87</v>
      </c>
      <c r="B91">
        <v>0</v>
      </c>
    </row>
    <row r="92" spans="1:3" x14ac:dyDescent="0.35">
      <c r="A92" t="s">
        <v>88</v>
      </c>
      <c r="B92">
        <v>75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/>
  </sheetViews>
  <sheetFormatPr baseColWidth="10" defaultColWidth="8.7265625" defaultRowHeight="14.5" x14ac:dyDescent="0.35"/>
  <cols>
    <col min="1" max="1" width="75" customWidth="1"/>
    <col min="2" max="2" width="18" customWidth="1"/>
    <col min="3" max="3" width="10" customWidth="1"/>
    <col min="4" max="4" width="15" customWidth="1"/>
  </cols>
  <sheetData>
    <row r="1" spans="1:4" x14ac:dyDescent="0.35">
      <c r="A1" t="s">
        <v>101</v>
      </c>
    </row>
    <row r="3" spans="1:4" x14ac:dyDescent="0.35">
      <c r="A3" t="s">
        <v>102</v>
      </c>
      <c r="B3" t="s">
        <v>103</v>
      </c>
      <c r="C3" t="s">
        <v>104</v>
      </c>
      <c r="D3" t="s">
        <v>105</v>
      </c>
    </row>
    <row r="4" spans="1:4" x14ac:dyDescent="0.35">
      <c r="A4" t="s">
        <v>106</v>
      </c>
      <c r="B4">
        <v>3</v>
      </c>
      <c r="C4">
        <v>4.92</v>
      </c>
      <c r="D4" t="s">
        <v>11</v>
      </c>
    </row>
    <row r="5" spans="1:4" x14ac:dyDescent="0.35">
      <c r="A5" t="s">
        <v>107</v>
      </c>
      <c r="B5">
        <v>0</v>
      </c>
      <c r="C5">
        <v>0</v>
      </c>
      <c r="D5" t="s">
        <v>11</v>
      </c>
    </row>
    <row r="6" spans="1:4" x14ac:dyDescent="0.35">
      <c r="A6" t="s">
        <v>108</v>
      </c>
      <c r="B6">
        <v>0</v>
      </c>
      <c r="C6">
        <v>0</v>
      </c>
      <c r="D6" t="s">
        <v>11</v>
      </c>
    </row>
    <row r="7" spans="1:4" x14ac:dyDescent="0.35">
      <c r="A7" t="s">
        <v>11</v>
      </c>
      <c r="B7">
        <v>3</v>
      </c>
      <c r="C7">
        <v>4.92</v>
      </c>
      <c r="D7" t="s">
        <v>11</v>
      </c>
    </row>
    <row r="8" spans="1:4" x14ac:dyDescent="0.35">
      <c r="A8" t="s">
        <v>11</v>
      </c>
      <c r="B8">
        <v>2</v>
      </c>
      <c r="C8">
        <v>3.28</v>
      </c>
      <c r="D8" t="s">
        <v>11</v>
      </c>
    </row>
    <row r="9" spans="1:4" x14ac:dyDescent="0.35">
      <c r="A9" t="s">
        <v>109</v>
      </c>
      <c r="B9">
        <v>53</v>
      </c>
      <c r="C9">
        <v>86.89</v>
      </c>
      <c r="D9" t="s">
        <v>11</v>
      </c>
    </row>
    <row r="12" spans="1:4" x14ac:dyDescent="0.35">
      <c r="A12" t="s">
        <v>77</v>
      </c>
      <c r="B12">
        <v>63</v>
      </c>
      <c r="C12" t="s">
        <v>78</v>
      </c>
    </row>
    <row r="13" spans="1:4" x14ac:dyDescent="0.35">
      <c r="A13" t="s">
        <v>79</v>
      </c>
      <c r="B13">
        <v>61</v>
      </c>
      <c r="C13" t="s">
        <v>80</v>
      </c>
    </row>
    <row r="14" spans="1:4" x14ac:dyDescent="0.35">
      <c r="A14" t="s">
        <v>81</v>
      </c>
      <c r="B14">
        <v>53</v>
      </c>
      <c r="C14" t="s">
        <v>100</v>
      </c>
    </row>
    <row r="15" spans="1:4" x14ac:dyDescent="0.35">
      <c r="A15" t="s">
        <v>83</v>
      </c>
      <c r="B15">
        <v>53</v>
      </c>
      <c r="C15" t="s">
        <v>67</v>
      </c>
    </row>
    <row r="17" spans="1:3" x14ac:dyDescent="0.35">
      <c r="A17" t="s">
        <v>84</v>
      </c>
      <c r="B17">
        <v>1</v>
      </c>
      <c r="C17" t="s">
        <v>78</v>
      </c>
    </row>
    <row r="18" spans="1:3" x14ac:dyDescent="0.35">
      <c r="A18" t="s">
        <v>85</v>
      </c>
      <c r="B18">
        <v>0.87</v>
      </c>
      <c r="C18" t="s">
        <v>100</v>
      </c>
    </row>
    <row r="19" spans="1:3" x14ac:dyDescent="0.35">
      <c r="A19" t="s">
        <v>86</v>
      </c>
      <c r="B19">
        <v>0.84</v>
      </c>
      <c r="C19" t="s">
        <v>67</v>
      </c>
    </row>
    <row r="22" spans="1:3" x14ac:dyDescent="0.35">
      <c r="A22" t="s">
        <v>87</v>
      </c>
      <c r="B22">
        <v>0</v>
      </c>
    </row>
    <row r="23" spans="1:3" x14ac:dyDescent="0.35">
      <c r="A23" t="s">
        <v>88</v>
      </c>
      <c r="B23">
        <v>61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"/>
  <sheetViews>
    <sheetView workbookViewId="0"/>
  </sheetViews>
  <sheetFormatPr baseColWidth="10" defaultColWidth="8.7265625" defaultRowHeight="14.5" x14ac:dyDescent="0.35"/>
  <cols>
    <col min="1" max="1" width="75" customWidth="1"/>
    <col min="2" max="3" width="10" customWidth="1"/>
  </cols>
  <sheetData>
    <row r="1" spans="1:1" x14ac:dyDescent="0.35">
      <c r="A1" t="s">
        <v>110</v>
      </c>
    </row>
    <row r="3" spans="1:1" x14ac:dyDescent="0.35">
      <c r="A3" t="s">
        <v>71</v>
      </c>
    </row>
    <row r="4" spans="1:1" x14ac:dyDescent="0.35">
      <c r="A4" t="s">
        <v>111</v>
      </c>
    </row>
    <row r="5" spans="1:1" x14ac:dyDescent="0.35">
      <c r="A5" t="s">
        <v>112</v>
      </c>
    </row>
    <row r="6" spans="1:1" x14ac:dyDescent="0.35">
      <c r="A6" t="s">
        <v>113</v>
      </c>
    </row>
    <row r="7" spans="1:1" x14ac:dyDescent="0.35">
      <c r="A7" t="s">
        <v>113</v>
      </c>
    </row>
    <row r="8" spans="1:1" x14ac:dyDescent="0.35">
      <c r="A8" t="s">
        <v>113</v>
      </c>
    </row>
    <row r="9" spans="1:1" x14ac:dyDescent="0.35">
      <c r="A9" t="s">
        <v>72</v>
      </c>
    </row>
    <row r="10" spans="1:1" x14ac:dyDescent="0.35">
      <c r="A10" t="s">
        <v>113</v>
      </c>
    </row>
    <row r="11" spans="1:1" x14ac:dyDescent="0.35">
      <c r="A11" t="s">
        <v>113</v>
      </c>
    </row>
    <row r="12" spans="1:1" x14ac:dyDescent="0.35">
      <c r="A12" t="s">
        <v>75</v>
      </c>
    </row>
    <row r="13" spans="1:1" x14ac:dyDescent="0.35">
      <c r="A13" t="s">
        <v>113</v>
      </c>
    </row>
    <row r="14" spans="1:1" x14ac:dyDescent="0.35">
      <c r="A14" t="s">
        <v>72</v>
      </c>
    </row>
    <row r="15" spans="1:1" x14ac:dyDescent="0.35">
      <c r="A15" t="s">
        <v>113</v>
      </c>
    </row>
    <row r="16" spans="1:1" x14ac:dyDescent="0.35">
      <c r="A16" t="s">
        <v>113</v>
      </c>
    </row>
    <row r="17" spans="1:1" x14ac:dyDescent="0.35">
      <c r="A17" t="s">
        <v>113</v>
      </c>
    </row>
    <row r="18" spans="1:1" x14ac:dyDescent="0.35">
      <c r="A18" t="s">
        <v>113</v>
      </c>
    </row>
    <row r="19" spans="1:1" x14ac:dyDescent="0.35">
      <c r="A19" t="s">
        <v>113</v>
      </c>
    </row>
    <row r="20" spans="1:1" x14ac:dyDescent="0.35">
      <c r="A20" t="s">
        <v>113</v>
      </c>
    </row>
    <row r="21" spans="1:1" x14ac:dyDescent="0.35">
      <c r="A21" t="s">
        <v>113</v>
      </c>
    </row>
    <row r="22" spans="1:1" x14ac:dyDescent="0.35">
      <c r="A22" t="s">
        <v>113</v>
      </c>
    </row>
    <row r="23" spans="1:1" x14ac:dyDescent="0.35">
      <c r="A23" t="s">
        <v>114</v>
      </c>
    </row>
    <row r="24" spans="1:1" x14ac:dyDescent="0.35">
      <c r="A24" t="s">
        <v>113</v>
      </c>
    </row>
    <row r="25" spans="1:1" x14ac:dyDescent="0.35">
      <c r="A25" t="s">
        <v>113</v>
      </c>
    </row>
    <row r="26" spans="1:1" x14ac:dyDescent="0.35">
      <c r="A26" t="s">
        <v>112</v>
      </c>
    </row>
    <row r="27" spans="1:1" x14ac:dyDescent="0.35">
      <c r="A27" t="s">
        <v>115</v>
      </c>
    </row>
    <row r="28" spans="1:1" x14ac:dyDescent="0.35">
      <c r="A28" t="s">
        <v>113</v>
      </c>
    </row>
    <row r="29" spans="1:1" x14ac:dyDescent="0.35">
      <c r="A29" t="s">
        <v>115</v>
      </c>
    </row>
    <row r="30" spans="1:1" x14ac:dyDescent="0.35">
      <c r="A30" t="s">
        <v>115</v>
      </c>
    </row>
    <row r="31" spans="1:1" x14ac:dyDescent="0.35">
      <c r="A31" t="s">
        <v>113</v>
      </c>
    </row>
    <row r="32" spans="1:1" x14ac:dyDescent="0.35">
      <c r="A32" t="s">
        <v>115</v>
      </c>
    </row>
    <row r="33" spans="1:1" x14ac:dyDescent="0.35">
      <c r="A33" t="s">
        <v>113</v>
      </c>
    </row>
    <row r="34" spans="1:1" x14ac:dyDescent="0.35">
      <c r="A34" t="s">
        <v>113</v>
      </c>
    </row>
    <row r="35" spans="1:1" x14ac:dyDescent="0.35">
      <c r="A35" t="s">
        <v>113</v>
      </c>
    </row>
    <row r="36" spans="1:1" x14ac:dyDescent="0.35">
      <c r="A36" t="s">
        <v>113</v>
      </c>
    </row>
    <row r="37" spans="1:1" x14ac:dyDescent="0.35">
      <c r="A37" t="s">
        <v>72</v>
      </c>
    </row>
    <row r="38" spans="1:1" x14ac:dyDescent="0.35">
      <c r="A38" t="s">
        <v>113</v>
      </c>
    </row>
    <row r="39" spans="1:1" x14ac:dyDescent="0.35">
      <c r="A39" t="s">
        <v>113</v>
      </c>
    </row>
    <row r="40" spans="1:1" x14ac:dyDescent="0.35">
      <c r="A40" t="s">
        <v>113</v>
      </c>
    </row>
    <row r="41" spans="1:1" x14ac:dyDescent="0.35">
      <c r="A41" t="s">
        <v>113</v>
      </c>
    </row>
    <row r="42" spans="1:1" x14ac:dyDescent="0.35">
      <c r="A42" t="s">
        <v>113</v>
      </c>
    </row>
    <row r="43" spans="1:1" x14ac:dyDescent="0.35">
      <c r="A43" t="s">
        <v>113</v>
      </c>
    </row>
    <row r="44" spans="1:1" x14ac:dyDescent="0.35">
      <c r="A44" t="s">
        <v>113</v>
      </c>
    </row>
    <row r="45" spans="1:1" x14ac:dyDescent="0.35">
      <c r="A45" t="s">
        <v>116</v>
      </c>
    </row>
    <row r="46" spans="1:1" x14ac:dyDescent="0.35">
      <c r="A46" t="s">
        <v>113</v>
      </c>
    </row>
    <row r="47" spans="1:1" x14ac:dyDescent="0.35">
      <c r="A47" t="s">
        <v>113</v>
      </c>
    </row>
    <row r="48" spans="1:1" x14ac:dyDescent="0.35">
      <c r="A48" t="s">
        <v>113</v>
      </c>
    </row>
    <row r="49" spans="1:1" x14ac:dyDescent="0.35">
      <c r="A49" t="s">
        <v>113</v>
      </c>
    </row>
    <row r="50" spans="1:1" x14ac:dyDescent="0.35">
      <c r="A50" t="s">
        <v>113</v>
      </c>
    </row>
    <row r="51" spans="1:1" x14ac:dyDescent="0.35">
      <c r="A51" t="s">
        <v>113</v>
      </c>
    </row>
    <row r="52" spans="1:1" x14ac:dyDescent="0.35">
      <c r="A52" t="s">
        <v>113</v>
      </c>
    </row>
    <row r="53" spans="1:1" x14ac:dyDescent="0.35">
      <c r="A53" t="s">
        <v>113</v>
      </c>
    </row>
    <row r="54" spans="1:1" x14ac:dyDescent="0.35">
      <c r="A54" t="s">
        <v>112</v>
      </c>
    </row>
    <row r="55" spans="1:1" x14ac:dyDescent="0.35">
      <c r="A55" t="s">
        <v>113</v>
      </c>
    </row>
    <row r="56" spans="1:1" x14ac:dyDescent="0.35">
      <c r="A56" t="s">
        <v>113</v>
      </c>
    </row>
    <row r="57" spans="1:1" x14ac:dyDescent="0.35">
      <c r="A57" t="s">
        <v>113</v>
      </c>
    </row>
    <row r="58" spans="1:1" x14ac:dyDescent="0.35">
      <c r="A58" t="s">
        <v>113</v>
      </c>
    </row>
    <row r="59" spans="1:1" x14ac:dyDescent="0.35">
      <c r="A59" t="s">
        <v>113</v>
      </c>
    </row>
    <row r="60" spans="1:1" x14ac:dyDescent="0.35">
      <c r="A60" t="s">
        <v>112</v>
      </c>
    </row>
    <row r="61" spans="1:1" x14ac:dyDescent="0.35">
      <c r="A61" t="s">
        <v>111</v>
      </c>
    </row>
    <row r="62" spans="1:1" x14ac:dyDescent="0.35">
      <c r="A62" t="s">
        <v>113</v>
      </c>
    </row>
    <row r="65" spans="1:3" x14ac:dyDescent="0.35">
      <c r="A65" t="s">
        <v>77</v>
      </c>
      <c r="B65">
        <v>63</v>
      </c>
      <c r="C65" t="s">
        <v>78</v>
      </c>
    </row>
    <row r="66" spans="1:3" x14ac:dyDescent="0.35">
      <c r="A66" t="s">
        <v>79</v>
      </c>
      <c r="B66">
        <v>57</v>
      </c>
      <c r="C66" t="s">
        <v>117</v>
      </c>
    </row>
    <row r="67" spans="1:3" x14ac:dyDescent="0.35">
      <c r="A67" t="s">
        <v>81</v>
      </c>
      <c r="B67">
        <v>43</v>
      </c>
      <c r="C67" t="s">
        <v>118</v>
      </c>
    </row>
    <row r="68" spans="1:3" x14ac:dyDescent="0.35">
      <c r="A68" t="s">
        <v>83</v>
      </c>
      <c r="B68">
        <v>43</v>
      </c>
      <c r="C68" t="s">
        <v>66</v>
      </c>
    </row>
    <row r="70" spans="1:3" x14ac:dyDescent="0.35">
      <c r="A70" t="s">
        <v>84</v>
      </c>
      <c r="B70">
        <v>1</v>
      </c>
      <c r="C70" t="s">
        <v>78</v>
      </c>
    </row>
    <row r="71" spans="1:3" x14ac:dyDescent="0.35">
      <c r="A71" t="s">
        <v>85</v>
      </c>
      <c r="B71">
        <v>0.75</v>
      </c>
      <c r="C71" t="s">
        <v>118</v>
      </c>
    </row>
    <row r="72" spans="1:3" x14ac:dyDescent="0.35">
      <c r="A72" t="s">
        <v>86</v>
      </c>
      <c r="B72">
        <v>0.68</v>
      </c>
      <c r="C72" t="s">
        <v>66</v>
      </c>
    </row>
    <row r="75" spans="1:3" x14ac:dyDescent="0.35">
      <c r="A75" t="s">
        <v>87</v>
      </c>
      <c r="B75">
        <v>0</v>
      </c>
    </row>
    <row r="76" spans="1:3" x14ac:dyDescent="0.35">
      <c r="A76" t="s">
        <v>88</v>
      </c>
      <c r="B76">
        <v>59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9"/>
  <sheetViews>
    <sheetView tabSelected="1" workbookViewId="0">
      <selection activeCell="A16" sqref="A16"/>
    </sheetView>
  </sheetViews>
  <sheetFormatPr baseColWidth="10" defaultColWidth="8.7265625" defaultRowHeight="14.5" x14ac:dyDescent="0.35"/>
  <cols>
    <col min="1" max="1" width="75" customWidth="1"/>
    <col min="2" max="3" width="10" customWidth="1"/>
  </cols>
  <sheetData>
    <row r="1" spans="1:1" x14ac:dyDescent="0.35">
      <c r="A1" t="s">
        <v>119</v>
      </c>
    </row>
    <row r="3" spans="1:1" x14ac:dyDescent="0.35">
      <c r="A3" t="s">
        <v>71</v>
      </c>
    </row>
    <row r="4" spans="1:1" x14ac:dyDescent="0.35">
      <c r="A4" t="s">
        <v>113</v>
      </c>
    </row>
    <row r="5" spans="1:1" x14ac:dyDescent="0.35">
      <c r="A5" t="s">
        <v>120</v>
      </c>
    </row>
    <row r="6" spans="1:1" x14ac:dyDescent="0.35">
      <c r="A6" t="s">
        <v>120</v>
      </c>
    </row>
    <row r="7" spans="1:1" x14ac:dyDescent="0.35">
      <c r="A7" t="s">
        <v>120</v>
      </c>
    </row>
    <row r="8" spans="1:1" x14ac:dyDescent="0.35">
      <c r="A8" t="s">
        <v>120</v>
      </c>
    </row>
    <row r="9" spans="1:1" x14ac:dyDescent="0.35">
      <c r="A9" t="s">
        <v>120</v>
      </c>
    </row>
    <row r="10" spans="1:1" x14ac:dyDescent="0.35">
      <c r="A10" t="s">
        <v>120</v>
      </c>
    </row>
    <row r="11" spans="1:1" x14ac:dyDescent="0.35">
      <c r="A11" t="s">
        <v>120</v>
      </c>
    </row>
    <row r="12" spans="1:1" x14ac:dyDescent="0.35">
      <c r="A12" t="s">
        <v>120</v>
      </c>
    </row>
    <row r="13" spans="1:1" x14ac:dyDescent="0.35">
      <c r="A13" t="s">
        <v>120</v>
      </c>
    </row>
    <row r="14" spans="1:1" x14ac:dyDescent="0.35">
      <c r="A14" t="s">
        <v>120</v>
      </c>
    </row>
    <row r="15" spans="1:1" x14ac:dyDescent="0.35">
      <c r="A15" t="s">
        <v>120</v>
      </c>
    </row>
    <row r="16" spans="1:1" x14ac:dyDescent="0.35">
      <c r="A16" t="s">
        <v>112</v>
      </c>
    </row>
    <row r="17" spans="1:1" x14ac:dyDescent="0.35">
      <c r="A17" t="s">
        <v>120</v>
      </c>
    </row>
    <row r="18" spans="1:1" x14ac:dyDescent="0.35">
      <c r="A18" t="s">
        <v>120</v>
      </c>
    </row>
    <row r="19" spans="1:1" x14ac:dyDescent="0.35">
      <c r="A19" t="s">
        <v>120</v>
      </c>
    </row>
    <row r="20" spans="1:1" x14ac:dyDescent="0.35">
      <c r="A20" t="s">
        <v>120</v>
      </c>
    </row>
    <row r="21" spans="1:1" x14ac:dyDescent="0.35">
      <c r="A21" t="s">
        <v>120</v>
      </c>
    </row>
    <row r="22" spans="1:1" x14ac:dyDescent="0.35">
      <c r="A22" t="s">
        <v>120</v>
      </c>
    </row>
    <row r="23" spans="1:1" x14ac:dyDescent="0.35">
      <c r="A23" t="s">
        <v>120</v>
      </c>
    </row>
    <row r="24" spans="1:1" x14ac:dyDescent="0.35">
      <c r="A24" t="s">
        <v>120</v>
      </c>
    </row>
    <row r="25" spans="1:1" x14ac:dyDescent="0.35">
      <c r="A25" t="s">
        <v>112</v>
      </c>
    </row>
    <row r="26" spans="1:1" x14ac:dyDescent="0.35">
      <c r="A26" t="s">
        <v>120</v>
      </c>
    </row>
    <row r="27" spans="1:1" x14ac:dyDescent="0.35">
      <c r="A27" t="s">
        <v>112</v>
      </c>
    </row>
    <row r="28" spans="1:1" x14ac:dyDescent="0.35">
      <c r="A28" t="s">
        <v>120</v>
      </c>
    </row>
    <row r="29" spans="1:1" x14ac:dyDescent="0.35">
      <c r="A29" t="s">
        <v>120</v>
      </c>
    </row>
    <row r="30" spans="1:1" x14ac:dyDescent="0.35">
      <c r="A30" t="s">
        <v>112</v>
      </c>
    </row>
    <row r="31" spans="1:1" x14ac:dyDescent="0.35">
      <c r="A31" t="s">
        <v>120</v>
      </c>
    </row>
    <row r="32" spans="1:1" x14ac:dyDescent="0.35">
      <c r="A32" t="s">
        <v>120</v>
      </c>
    </row>
    <row r="33" spans="1:1" x14ac:dyDescent="0.35">
      <c r="A33" t="s">
        <v>114</v>
      </c>
    </row>
    <row r="34" spans="1:1" x14ac:dyDescent="0.35">
      <c r="A34" t="s">
        <v>120</v>
      </c>
    </row>
    <row r="35" spans="1:1" x14ac:dyDescent="0.35">
      <c r="A35" t="s">
        <v>120</v>
      </c>
    </row>
    <row r="36" spans="1:1" x14ac:dyDescent="0.35">
      <c r="A36" t="s">
        <v>120</v>
      </c>
    </row>
    <row r="37" spans="1:1" x14ac:dyDescent="0.35">
      <c r="A37" t="s">
        <v>120</v>
      </c>
    </row>
    <row r="38" spans="1:1" x14ac:dyDescent="0.35">
      <c r="A38" t="s">
        <v>120</v>
      </c>
    </row>
    <row r="39" spans="1:1" x14ac:dyDescent="0.35">
      <c r="A39" t="s">
        <v>121</v>
      </c>
    </row>
    <row r="40" spans="1:1" x14ac:dyDescent="0.35">
      <c r="A40" t="s">
        <v>120</v>
      </c>
    </row>
    <row r="41" spans="1:1" x14ac:dyDescent="0.35">
      <c r="A41" t="s">
        <v>120</v>
      </c>
    </row>
    <row r="42" spans="1:1" x14ac:dyDescent="0.35">
      <c r="A42" t="s">
        <v>122</v>
      </c>
    </row>
    <row r="43" spans="1:1" x14ac:dyDescent="0.35">
      <c r="A43" t="s">
        <v>120</v>
      </c>
    </row>
    <row r="44" spans="1:1" x14ac:dyDescent="0.35">
      <c r="A44" t="s">
        <v>120</v>
      </c>
    </row>
    <row r="45" spans="1:1" x14ac:dyDescent="0.35">
      <c r="A45" t="s">
        <v>120</v>
      </c>
    </row>
    <row r="46" spans="1:1" x14ac:dyDescent="0.35">
      <c r="A46" t="s">
        <v>122</v>
      </c>
    </row>
    <row r="47" spans="1:1" x14ac:dyDescent="0.35">
      <c r="A47" t="s">
        <v>120</v>
      </c>
    </row>
    <row r="48" spans="1:1" x14ac:dyDescent="0.35">
      <c r="A48" t="s">
        <v>120</v>
      </c>
    </row>
    <row r="49" spans="1:1" x14ac:dyDescent="0.35">
      <c r="A49" t="s">
        <v>120</v>
      </c>
    </row>
    <row r="50" spans="1:1" x14ac:dyDescent="0.35">
      <c r="A50" t="s">
        <v>120</v>
      </c>
    </row>
    <row r="51" spans="1:1" x14ac:dyDescent="0.35">
      <c r="A51" t="s">
        <v>120</v>
      </c>
    </row>
    <row r="52" spans="1:1" x14ac:dyDescent="0.35">
      <c r="A52" t="s">
        <v>120</v>
      </c>
    </row>
    <row r="53" spans="1:1" x14ac:dyDescent="0.35">
      <c r="A53" t="s">
        <v>120</v>
      </c>
    </row>
    <row r="54" spans="1:1" x14ac:dyDescent="0.35">
      <c r="A54" t="s">
        <v>120</v>
      </c>
    </row>
    <row r="55" spans="1:1" x14ac:dyDescent="0.35">
      <c r="A55" t="s">
        <v>120</v>
      </c>
    </row>
    <row r="56" spans="1:1" x14ac:dyDescent="0.35">
      <c r="A56" t="s">
        <v>122</v>
      </c>
    </row>
    <row r="57" spans="1:1" x14ac:dyDescent="0.35">
      <c r="A57" t="s">
        <v>120</v>
      </c>
    </row>
    <row r="58" spans="1:1" x14ac:dyDescent="0.35">
      <c r="A58" t="s">
        <v>120</v>
      </c>
    </row>
    <row r="59" spans="1:1" x14ac:dyDescent="0.35">
      <c r="A59" t="s">
        <v>123</v>
      </c>
    </row>
    <row r="60" spans="1:1" x14ac:dyDescent="0.35">
      <c r="A60" t="s">
        <v>123</v>
      </c>
    </row>
    <row r="61" spans="1:1" x14ac:dyDescent="0.35">
      <c r="A61" t="s">
        <v>122</v>
      </c>
    </row>
    <row r="62" spans="1:1" x14ac:dyDescent="0.35">
      <c r="A62" t="s">
        <v>120</v>
      </c>
    </row>
    <row r="63" spans="1:1" x14ac:dyDescent="0.35">
      <c r="A63" t="s">
        <v>120</v>
      </c>
    </row>
    <row r="64" spans="1:1" x14ac:dyDescent="0.35">
      <c r="A64" t="s">
        <v>120</v>
      </c>
    </row>
    <row r="65" spans="1:3" x14ac:dyDescent="0.35">
      <c r="A65" t="s">
        <v>114</v>
      </c>
    </row>
    <row r="68" spans="1:3" x14ac:dyDescent="0.35">
      <c r="A68" t="s">
        <v>77</v>
      </c>
      <c r="B68">
        <v>63</v>
      </c>
      <c r="C68" t="s">
        <v>78</v>
      </c>
    </row>
    <row r="69" spans="1:3" x14ac:dyDescent="0.35">
      <c r="A69" t="s">
        <v>79</v>
      </c>
      <c r="B69">
        <v>58</v>
      </c>
      <c r="C69" t="s">
        <v>124</v>
      </c>
    </row>
    <row r="70" spans="1:3" x14ac:dyDescent="0.35">
      <c r="A70" t="s">
        <v>81</v>
      </c>
      <c r="B70">
        <v>4</v>
      </c>
      <c r="C70" t="s">
        <v>125</v>
      </c>
    </row>
    <row r="71" spans="1:3" x14ac:dyDescent="0.35">
      <c r="A71" t="s">
        <v>83</v>
      </c>
      <c r="B71">
        <v>4</v>
      </c>
      <c r="C71" t="s">
        <v>68</v>
      </c>
    </row>
    <row r="73" spans="1:3" x14ac:dyDescent="0.35">
      <c r="A73" t="s">
        <v>84</v>
      </c>
      <c r="B73">
        <v>1</v>
      </c>
      <c r="C73" t="s">
        <v>78</v>
      </c>
    </row>
    <row r="74" spans="1:3" x14ac:dyDescent="0.35">
      <c r="A74" t="s">
        <v>85</v>
      </c>
      <c r="B74">
        <v>7.0000000000000007E-2</v>
      </c>
      <c r="C74" t="s">
        <v>125</v>
      </c>
    </row>
    <row r="75" spans="1:3" x14ac:dyDescent="0.35">
      <c r="A75" t="s">
        <v>86</v>
      </c>
      <c r="B75">
        <v>0.06</v>
      </c>
      <c r="C75" t="s">
        <v>68</v>
      </c>
    </row>
    <row r="78" spans="1:3" x14ac:dyDescent="0.35">
      <c r="A78" t="s">
        <v>87</v>
      </c>
      <c r="B78">
        <v>0</v>
      </c>
    </row>
    <row r="79" spans="1:3" x14ac:dyDescent="0.35">
      <c r="A79" t="s">
        <v>88</v>
      </c>
      <c r="B79">
        <v>62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baseColWidth="10" defaultColWidth="8.7265625" defaultRowHeight="14.5" x14ac:dyDescent="0.35"/>
  <cols>
    <col min="1" max="1" width="11" customWidth="1"/>
    <col min="2" max="2" width="13" customWidth="1"/>
    <col min="3" max="3" width="12" customWidth="1"/>
    <col min="4" max="5" width="10" customWidth="1"/>
    <col min="6" max="6" width="12" customWidth="1"/>
    <col min="7" max="7" width="10" customWidth="1"/>
  </cols>
  <sheetData>
    <row r="1" spans="1:6" x14ac:dyDescent="0.35">
      <c r="A1" t="s">
        <v>126</v>
      </c>
      <c r="B1" t="s">
        <v>127</v>
      </c>
      <c r="C1" t="s">
        <v>128</v>
      </c>
      <c r="D1" t="s">
        <v>4</v>
      </c>
      <c r="E1" t="s">
        <v>129</v>
      </c>
      <c r="F1" t="s">
        <v>130</v>
      </c>
    </row>
    <row r="4" spans="1:6" x14ac:dyDescent="0.35">
      <c r="A4" t="s">
        <v>131</v>
      </c>
      <c r="B4">
        <v>0</v>
      </c>
    </row>
    <row r="5" spans="1:6" x14ac:dyDescent="0.35">
      <c r="A5" t="s">
        <v>132</v>
      </c>
      <c r="B5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Résultats principaux</vt:lpstr>
      <vt:lpstr>Q1</vt:lpstr>
      <vt:lpstr>Q2</vt:lpstr>
      <vt:lpstr>Q3</vt:lpstr>
      <vt:lpstr>Q4</vt:lpstr>
      <vt:lpstr>Q5</vt:lpstr>
      <vt:lpstr>Mur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2026-09-11T09:57:35Z</dcterms:created>
  <dcterms:modified xsi:type="dcterms:W3CDTF">2026-09-21T16:23:11Z</dcterms:modified>
  <cp:category/>
</cp:coreProperties>
</file>