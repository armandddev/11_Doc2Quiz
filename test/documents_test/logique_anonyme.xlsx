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19200" windowHeight="7810"/>
  </bookViews>
  <sheets>
    <sheet name="Résultats principaux" sheetId="1" r:id="rId1"/>
    <sheet name="Q1" sheetId="2" r:id="rId2"/>
    <sheet name="Q2" sheetId="3" r:id="rId3"/>
    <sheet name="Q3" sheetId="4" r:id="rId4"/>
    <sheet name="Q4" sheetId="5" r:id="rId5"/>
    <sheet name="Q5" sheetId="6" r:id="rId6"/>
    <sheet name="Mur" sheetId="7" r:id="rId7"/>
  </sheets>
  <calcPr calcId="152511"/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2" i="1"/>
</calcChain>
</file>

<file path=xl/sharedStrings.xml><?xml version="1.0" encoding="utf-8"?>
<sst xmlns="http://schemas.openxmlformats.org/spreadsheetml/2006/main" count="807" uniqueCount="160">
  <si>
    <t>#</t>
  </si>
  <si>
    <t>Nom d'utilisateur</t>
  </si>
  <si>
    <t>Prénom</t>
  </si>
  <si>
    <t>Nom de famille</t>
  </si>
  <si>
    <t>Email</t>
  </si>
  <si>
    <t>Q1 - Indiquer la nature de la phrase suivante : "Travaille!" (4 pts)</t>
  </si>
  <si>
    <t>Q2 - Indiquer la nature de la proposition suivante : il existe une voiture qui est rouge (1 pts)</t>
  </si>
  <si>
    <t>Q3 - Soit les propositions de base : B il fait beau, E les étudiants travaillent, C l'enseignant est content.
Traduire à l'aide des connecteurs S'il pleut, les étudiants ne travaillent pas et l'enseignant est mécontent (1 pts)</t>
  </si>
  <si>
    <t>Q4 - Indiquer la contraposée de : S'il fait beau, je vais à la plage (1 pts)</t>
  </si>
  <si>
    <t>Q5 - Si p est vraie et q est fausse alors q implique p est : (1 pts)</t>
  </si>
  <si>
    <t>Total</t>
  </si>
  <si>
    <t>AFRASS Manar</t>
  </si>
  <si>
    <t/>
  </si>
  <si>
    <t>V - Pas une proposition</t>
  </si>
  <si>
    <t>X - Proposition dont on ne connait pas la valeur de vérité</t>
  </si>
  <si>
    <t>V - (B ) ̅  →E ̅  ∧C ̅</t>
  </si>
  <si>
    <t>V - Si je ne vais pas à la plage, c'est qu'il ne fait pas beau</t>
  </si>
  <si>
    <t>V - vraie</t>
  </si>
  <si>
    <t>7 / 8</t>
  </si>
  <si>
    <t>AITMOUDID Younes</t>
  </si>
  <si>
    <t>X - S'il ne fait pas beau, je ne vais pas à la plage</t>
  </si>
  <si>
    <t>X - fausse</t>
  </si>
  <si>
    <t>5 / 8</t>
  </si>
  <si>
    <t>BAL Justin</t>
  </si>
  <si>
    <t>BARRY DIALLO Abdoulaye</t>
  </si>
  <si>
    <t>BEN ALI ATTOUMANI MICHAEL</t>
  </si>
  <si>
    <t>Ben Hadj Salem Yanis</t>
  </si>
  <si>
    <t>6 / 8</t>
  </si>
  <si>
    <t>BOUDERBAL Samia</t>
  </si>
  <si>
    <t>Bourgain Daony</t>
  </si>
  <si>
    <t>V - Tautologie</t>
  </si>
  <si>
    <t>BREUININ jules</t>
  </si>
  <si>
    <t>X - (B ) ̅   →E ̅  ∨ C ̅</t>
  </si>
  <si>
    <t>Caron Noa</t>
  </si>
  <si>
    <t>X - Si je vais à la plage, c'est qu'il fait beau</t>
  </si>
  <si>
    <t>CLETY Jules</t>
  </si>
  <si>
    <t>D'HONDT Romain</t>
  </si>
  <si>
    <t>8 / 8</t>
  </si>
  <si>
    <t>DEBIERRE Florian</t>
  </si>
  <si>
    <t>Debruyne ilyes</t>
  </si>
  <si>
    <t>X - on ne peut pas savoir</t>
  </si>
  <si>
    <t>DECLERCQ Oscar</t>
  </si>
  <si>
    <t>DELANNOY Mathéo</t>
  </si>
  <si>
    <t>DELCLOY ewen</t>
  </si>
  <si>
    <t>DERYCKE Mathéo</t>
  </si>
  <si>
    <t>DEVASSENNE Aymeric</t>
  </si>
  <si>
    <t>DEVOS Raphaël</t>
  </si>
  <si>
    <t>EL FETTAHI Mourad</t>
  </si>
  <si>
    <t>X - aucune des formules ne correspond</t>
  </si>
  <si>
    <t>ETHAN DAUBERCOURT</t>
  </si>
  <si>
    <t>Fauvergue Kévin</t>
  </si>
  <si>
    <t>Ficquet eve</t>
  </si>
  <si>
    <t>GODDE Robin</t>
  </si>
  <si>
    <t>GUILBERT Nicolas</t>
  </si>
  <si>
    <t>HEMBERT Joseph</t>
  </si>
  <si>
    <t>HIVIN Mael</t>
  </si>
  <si>
    <t>HOUESSOU Hans</t>
  </si>
  <si>
    <t>HUMIERE Danael</t>
  </si>
  <si>
    <t>Kermoal Yvan</t>
  </si>
  <si>
    <t>KHAYAR marwa</t>
  </si>
  <si>
    <t>LE CROLLER Soen</t>
  </si>
  <si>
    <t>LEPINE Nolan</t>
  </si>
  <si>
    <t>X - Tautologie</t>
  </si>
  <si>
    <t>4 / 8</t>
  </si>
  <si>
    <t>LOPES Denisia</t>
  </si>
  <si>
    <t>LOYER Thyméo</t>
  </si>
  <si>
    <t>Luca de waart</t>
  </si>
  <si>
    <t>naji mahinda</t>
  </si>
  <si>
    <t>X - (B ) ̅   ↔ E ̅  ∨ C ̅</t>
  </si>
  <si>
    <t>/</t>
  </si>
  <si>
    <t>2 / 8</t>
  </si>
  <si>
    <t>Naït Oufkir Nassim</t>
  </si>
  <si>
    <t>NDIAYE Assane</t>
  </si>
  <si>
    <t>NGOUABI MOUKETO Prince Jr</t>
  </si>
  <si>
    <t>NIKYEMA Ezechias</t>
  </si>
  <si>
    <t>NION Célian</t>
  </si>
  <si>
    <t>Noah Clercin</t>
  </si>
  <si>
    <t>PEPIN Mathis</t>
  </si>
  <si>
    <t>PIDOU Eliaz</t>
  </si>
  <si>
    <t>PONCHATEAU VASSEUR mael</t>
  </si>
  <si>
    <t>Prudhomme Théo</t>
  </si>
  <si>
    <t>RAYER Arsene</t>
  </si>
  <si>
    <t>X - Prédicat</t>
  </si>
  <si>
    <t>SAINT-MAXIN Amaury</t>
  </si>
  <si>
    <t>SALAMI Issam</t>
  </si>
  <si>
    <t>Sankanou Assa</t>
  </si>
  <si>
    <t>SEIDL Marek</t>
  </si>
  <si>
    <t>SOETE Gabriel</t>
  </si>
  <si>
    <t>SPECQ Bryan</t>
  </si>
  <si>
    <t>Sy Mohamed</t>
  </si>
  <si>
    <t>TAVERNE Thibault</t>
  </si>
  <si>
    <t>TUEUX Mattéo</t>
  </si>
  <si>
    <t>VANHERZECKE Noah</t>
  </si>
  <si>
    <t>Vercruysse Lou</t>
  </si>
  <si>
    <t>Wania</t>
  </si>
  <si>
    <t>Worme baptiste</t>
  </si>
  <si>
    <t>YONGOUA Maeva</t>
  </si>
  <si>
    <t>Moyenne</t>
  </si>
  <si>
    <t>96.83%</t>
  </si>
  <si>
    <t>63.49%</t>
  </si>
  <si>
    <t>85.71%</t>
  </si>
  <si>
    <t>57.14%</t>
  </si>
  <si>
    <t>47.62%</t>
  </si>
  <si>
    <t>80.16%</t>
  </si>
  <si>
    <t>Indiquer la nature de la phrase suivante : "Travaille!"</t>
  </si>
  <si>
    <t>Choix</t>
  </si>
  <si>
    <t>Nombre de votes</t>
  </si>
  <si>
    <t>%</t>
  </si>
  <si>
    <t>Commentaires</t>
  </si>
  <si>
    <t>Tautologie</t>
  </si>
  <si>
    <t>Proposition fausse</t>
  </si>
  <si>
    <t>Proposition dont on ne connait pas la valeur de vérité</t>
  </si>
  <si>
    <t>Pas une proposition</t>
  </si>
  <si>
    <t>Nombre de participants</t>
  </si>
  <si>
    <t>100%</t>
  </si>
  <si>
    <t>Nombre de participants qui ont répondu</t>
  </si>
  <si>
    <t>98.44%</t>
  </si>
  <si>
    <t>Nombre de participants qui ont répondu correctement (excl. les réponses manquantes)</t>
  </si>
  <si>
    <t>93.65%</t>
  </si>
  <si>
    <t>Nombre de participants qui ont répondu correctement (incl. les réponses manquantes)</t>
  </si>
  <si>
    <t>92.19%</t>
  </si>
  <si>
    <t>Score maximum</t>
  </si>
  <si>
    <t>Score moyen (excl. les réponses manquantes)</t>
  </si>
  <si>
    <t>Score moyen (incl. les réponses manquantes)</t>
  </si>
  <si>
    <t>95.31%</t>
  </si>
  <si>
    <t>Par SMS</t>
  </si>
  <si>
    <t>Par web</t>
  </si>
  <si>
    <t>Indiquer la nature de la proposition suivante : il existe une voiture qui est rouge</t>
  </si>
  <si>
    <t>Prédicat</t>
  </si>
  <si>
    <t>96.88%</t>
  </si>
  <si>
    <t>64.52%</t>
  </si>
  <si>
    <t>62.5%</t>
  </si>
  <si>
    <t>Soit les propositions de base : B il fait beau, E les étudiants travaillent, C l'enseignant est content.
Traduire à l'aide des connecteurs S'il pleut, les étudiants ne travaillent pas et l'enseignant est mécontent</t>
  </si>
  <si>
    <t>(B ) ̅   ↔ E ̅  ∨ C ̅</t>
  </si>
  <si>
    <t>(B ) ̅   →E ̅  ∨ C ̅</t>
  </si>
  <si>
    <t>(B ) ̅  ↔E ̅  ∧C ̅</t>
  </si>
  <si>
    <t>(B ) ̅  →E ̅  ∧C ̅</t>
  </si>
  <si>
    <t>aucune des formules ne correspond</t>
  </si>
  <si>
    <t>87.1%</t>
  </si>
  <si>
    <t>84.38%</t>
  </si>
  <si>
    <t>Indiquer la contraposée de : S'il fait beau, je vais à la plage</t>
  </si>
  <si>
    <t>Si je vais à la plage, c'est qu'il fait beau</t>
  </si>
  <si>
    <t>Si je ne vais pas à la plage, c'est qu'il fait beau</t>
  </si>
  <si>
    <t>Si je ne vais pas à la plage, c'est qu'il ne fait pas beau</t>
  </si>
  <si>
    <t>S'il ne fait pas beau, je ne vais pas à la plage</t>
  </si>
  <si>
    <t>S'il ne fait pas beau, je vais à la plage</t>
  </si>
  <si>
    <t>59.02%</t>
  </si>
  <si>
    <t>56.25%</t>
  </si>
  <si>
    <t>Si p est vraie et q est fausse alors q implique p est :</t>
  </si>
  <si>
    <t>fausse</t>
  </si>
  <si>
    <t>vraie</t>
  </si>
  <si>
    <t>on ne peut pas savoir</t>
  </si>
  <si>
    <t>46.88%</t>
  </si>
  <si>
    <t>Username</t>
  </si>
  <si>
    <t>First name</t>
  </si>
  <si>
    <t>Last name</t>
  </si>
  <si>
    <t>Answer</t>
  </si>
  <si>
    <t>Archived?</t>
  </si>
  <si>
    <t>By SMS</t>
  </si>
  <si>
    <t>By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</si>
</sst>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5"/>
  <sheetViews>
    <sheetView tabSelected="1" workbookViewId="0">
      <selection activeCell="B2" sqref="B2:B64"/>
    </sheetView>
  </sheetViews>
  <sheetFormatPr baseColWidth="10" defaultColWidth="8.7265625" defaultRowHeight="14.5" x14ac:dyDescent="0.35"/>
  <cols>
    <col min="1" max="1" width="10" customWidth="1"/>
    <col min="2" max="2" width="28" customWidth="1"/>
    <col min="3" max="3" width="10" customWidth="1"/>
    <col min="4" max="4" width="17" customWidth="1"/>
    <col min="5" max="6" width="10" customWidth="1"/>
    <col min="7" max="7" width="55" bestFit="1" customWidth="1"/>
    <col min="8" max="8" width="12.90625" customWidth="1"/>
    <col min="9" max="9" width="43.36328125" customWidth="1"/>
    <col min="10" max="10" width="31.1796875" customWidth="1"/>
    <col min="11" max="11" width="38" customWidth="1"/>
    <col min="12" max="12" width="17.26953125" customWidth="1"/>
    <col min="13" max="13" width="49.36328125" customWidth="1"/>
    <col min="14" max="14" width="8.36328125" customWidth="1"/>
    <col min="15" max="15" width="34.54296875" customWidth="1"/>
    <col min="16" max="16" width="13.26953125" customWidth="1"/>
    <col min="17" max="17" width="10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</row>
    <row r="2" spans="1:19" x14ac:dyDescent="0.35">
      <c r="A2">
        <v>1</v>
      </c>
      <c r="C2" t="s">
        <v>12</v>
      </c>
      <c r="D2" t="s">
        <v>12</v>
      </c>
      <c r="E2" t="s">
        <v>12</v>
      </c>
      <c r="G2" t="s">
        <v>13</v>
      </c>
      <c r="H2">
        <f>IF(MID(G2,1,1)="V",1,0)</f>
        <v>1</v>
      </c>
      <c r="I2" t="s">
        <v>14</v>
      </c>
      <c r="J2">
        <f>IF(MID(I2,1,1)="V",1,0)</f>
        <v>0</v>
      </c>
      <c r="K2" t="s">
        <v>15</v>
      </c>
      <c r="L2">
        <f>IF(MID(K2,1,1)="V",1,0)</f>
        <v>1</v>
      </c>
      <c r="M2" t="s">
        <v>16</v>
      </c>
      <c r="N2">
        <f>IF(MID(M2,1,1)="V",1,0)</f>
        <v>1</v>
      </c>
      <c r="O2" t="s">
        <v>17</v>
      </c>
      <c r="P2">
        <f>IF(MID(O2,1,1)="V",1,0)</f>
        <v>1</v>
      </c>
      <c r="Q2" t="s">
        <v>18</v>
      </c>
      <c r="R2">
        <f>P2+N2+L2+J2+H2</f>
        <v>4</v>
      </c>
      <c r="S2" t="s">
        <v>11</v>
      </c>
    </row>
    <row r="3" spans="1:19" x14ac:dyDescent="0.35">
      <c r="A3">
        <v>2</v>
      </c>
      <c r="C3" t="s">
        <v>12</v>
      </c>
      <c r="D3" t="s">
        <v>12</v>
      </c>
      <c r="E3" t="s">
        <v>12</v>
      </c>
      <c r="G3" t="s">
        <v>13</v>
      </c>
      <c r="H3">
        <f t="shared" ref="H3:H64" si="0">IF(MID(G3,1,1)="V",1,0)</f>
        <v>1</v>
      </c>
      <c r="I3" t="s">
        <v>14</v>
      </c>
      <c r="J3">
        <f t="shared" ref="J3:J64" si="1">IF(MID(I3,1,1)="V",1,0)</f>
        <v>0</v>
      </c>
      <c r="K3" t="s">
        <v>15</v>
      </c>
      <c r="L3">
        <f t="shared" ref="L3:L64" si="2">IF(MID(K3,1,1)="V",1,0)</f>
        <v>1</v>
      </c>
      <c r="M3" t="s">
        <v>20</v>
      </c>
      <c r="N3">
        <f t="shared" ref="N3:N64" si="3">IF(MID(M3,1,1)="V",1,0)</f>
        <v>0</v>
      </c>
      <c r="O3" t="s">
        <v>21</v>
      </c>
      <c r="P3">
        <f t="shared" ref="P3:P64" si="4">IF(MID(O3,1,1)="V",1,0)</f>
        <v>0</v>
      </c>
      <c r="Q3" t="s">
        <v>22</v>
      </c>
      <c r="R3">
        <f t="shared" ref="R3:R64" si="5">P3+N3+L3+J3+H3</f>
        <v>2</v>
      </c>
      <c r="S3" t="s">
        <v>19</v>
      </c>
    </row>
    <row r="4" spans="1:19" x14ac:dyDescent="0.35">
      <c r="A4">
        <v>3</v>
      </c>
      <c r="C4" t="s">
        <v>12</v>
      </c>
      <c r="D4" t="s">
        <v>12</v>
      </c>
      <c r="E4" t="s">
        <v>12</v>
      </c>
      <c r="G4" t="s">
        <v>13</v>
      </c>
      <c r="H4">
        <f t="shared" si="0"/>
        <v>1</v>
      </c>
      <c r="I4" t="s">
        <v>14</v>
      </c>
      <c r="J4">
        <f t="shared" si="1"/>
        <v>0</v>
      </c>
      <c r="K4" t="s">
        <v>15</v>
      </c>
      <c r="L4">
        <f t="shared" si="2"/>
        <v>1</v>
      </c>
      <c r="M4" t="s">
        <v>20</v>
      </c>
      <c r="N4">
        <f t="shared" si="3"/>
        <v>0</v>
      </c>
      <c r="O4" t="s">
        <v>21</v>
      </c>
      <c r="P4">
        <f t="shared" si="4"/>
        <v>0</v>
      </c>
      <c r="Q4" t="s">
        <v>22</v>
      </c>
      <c r="R4">
        <f t="shared" si="5"/>
        <v>2</v>
      </c>
      <c r="S4" t="s">
        <v>23</v>
      </c>
    </row>
    <row r="5" spans="1:19" x14ac:dyDescent="0.35">
      <c r="A5">
        <v>4</v>
      </c>
      <c r="C5" t="s">
        <v>12</v>
      </c>
      <c r="D5" t="s">
        <v>12</v>
      </c>
      <c r="E5" t="s">
        <v>12</v>
      </c>
      <c r="G5" t="s">
        <v>13</v>
      </c>
      <c r="H5">
        <f t="shared" si="0"/>
        <v>1</v>
      </c>
      <c r="I5" t="s">
        <v>14</v>
      </c>
      <c r="J5">
        <f t="shared" si="1"/>
        <v>0</v>
      </c>
      <c r="K5" t="s">
        <v>15</v>
      </c>
      <c r="L5">
        <f t="shared" si="2"/>
        <v>1</v>
      </c>
      <c r="M5" t="s">
        <v>20</v>
      </c>
      <c r="N5">
        <f t="shared" si="3"/>
        <v>0</v>
      </c>
      <c r="O5" t="s">
        <v>21</v>
      </c>
      <c r="P5">
        <f t="shared" si="4"/>
        <v>0</v>
      </c>
      <c r="Q5" t="s">
        <v>22</v>
      </c>
      <c r="R5">
        <f t="shared" si="5"/>
        <v>2</v>
      </c>
      <c r="S5" t="s">
        <v>24</v>
      </c>
    </row>
    <row r="6" spans="1:19" x14ac:dyDescent="0.35">
      <c r="A6">
        <v>5</v>
      </c>
      <c r="C6" t="s">
        <v>12</v>
      </c>
      <c r="D6" t="s">
        <v>12</v>
      </c>
      <c r="E6" t="s">
        <v>12</v>
      </c>
      <c r="G6" t="s">
        <v>13</v>
      </c>
      <c r="H6">
        <f t="shared" si="0"/>
        <v>1</v>
      </c>
      <c r="I6" t="s">
        <v>14</v>
      </c>
      <c r="J6">
        <f t="shared" si="1"/>
        <v>0</v>
      </c>
      <c r="K6" t="s">
        <v>15</v>
      </c>
      <c r="L6">
        <f t="shared" si="2"/>
        <v>1</v>
      </c>
      <c r="M6" t="s">
        <v>20</v>
      </c>
      <c r="N6">
        <f t="shared" si="3"/>
        <v>0</v>
      </c>
      <c r="O6" t="s">
        <v>21</v>
      </c>
      <c r="P6">
        <f t="shared" si="4"/>
        <v>0</v>
      </c>
      <c r="Q6" t="s">
        <v>22</v>
      </c>
      <c r="R6">
        <f t="shared" si="5"/>
        <v>2</v>
      </c>
      <c r="S6" t="s">
        <v>25</v>
      </c>
    </row>
    <row r="7" spans="1:19" x14ac:dyDescent="0.35">
      <c r="A7">
        <v>6</v>
      </c>
      <c r="C7" t="s">
        <v>12</v>
      </c>
      <c r="D7" t="s">
        <v>12</v>
      </c>
      <c r="E7" t="s">
        <v>12</v>
      </c>
      <c r="G7" t="s">
        <v>13</v>
      </c>
      <c r="H7">
        <f t="shared" si="0"/>
        <v>1</v>
      </c>
      <c r="I7" t="s">
        <v>14</v>
      </c>
      <c r="J7">
        <f t="shared" si="1"/>
        <v>0</v>
      </c>
      <c r="K7" t="s">
        <v>15</v>
      </c>
      <c r="L7">
        <f t="shared" si="2"/>
        <v>1</v>
      </c>
      <c r="M7" t="s">
        <v>16</v>
      </c>
      <c r="N7">
        <f t="shared" si="3"/>
        <v>1</v>
      </c>
      <c r="O7" t="s">
        <v>21</v>
      </c>
      <c r="P7">
        <f t="shared" si="4"/>
        <v>0</v>
      </c>
      <c r="Q7" t="s">
        <v>27</v>
      </c>
      <c r="R7">
        <f t="shared" si="5"/>
        <v>3</v>
      </c>
      <c r="S7" t="s">
        <v>26</v>
      </c>
    </row>
    <row r="8" spans="1:19" x14ac:dyDescent="0.35">
      <c r="A8">
        <v>7</v>
      </c>
      <c r="C8" t="s">
        <v>12</v>
      </c>
      <c r="D8" t="s">
        <v>12</v>
      </c>
      <c r="E8" t="s">
        <v>12</v>
      </c>
      <c r="G8" t="s">
        <v>13</v>
      </c>
      <c r="H8">
        <f t="shared" si="0"/>
        <v>1</v>
      </c>
      <c r="I8" t="s">
        <v>14</v>
      </c>
      <c r="J8">
        <f t="shared" si="1"/>
        <v>0</v>
      </c>
      <c r="K8" t="s">
        <v>15</v>
      </c>
      <c r="L8">
        <f t="shared" si="2"/>
        <v>1</v>
      </c>
      <c r="M8" t="s">
        <v>16</v>
      </c>
      <c r="N8">
        <f t="shared" si="3"/>
        <v>1</v>
      </c>
      <c r="O8" t="s">
        <v>17</v>
      </c>
      <c r="P8">
        <f t="shared" si="4"/>
        <v>1</v>
      </c>
      <c r="Q8" t="s">
        <v>18</v>
      </c>
      <c r="R8">
        <f t="shared" si="5"/>
        <v>4</v>
      </c>
      <c r="S8" t="s">
        <v>28</v>
      </c>
    </row>
    <row r="9" spans="1:19" x14ac:dyDescent="0.35">
      <c r="A9">
        <v>8</v>
      </c>
      <c r="C9" t="s">
        <v>12</v>
      </c>
      <c r="D9" t="s">
        <v>12</v>
      </c>
      <c r="E9" t="s">
        <v>12</v>
      </c>
      <c r="G9" t="s">
        <v>13</v>
      </c>
      <c r="H9">
        <f t="shared" si="0"/>
        <v>1</v>
      </c>
      <c r="I9" t="s">
        <v>30</v>
      </c>
      <c r="J9">
        <f t="shared" si="1"/>
        <v>1</v>
      </c>
      <c r="K9" t="s">
        <v>15</v>
      </c>
      <c r="L9">
        <f t="shared" si="2"/>
        <v>1</v>
      </c>
      <c r="M9" t="s">
        <v>20</v>
      </c>
      <c r="N9">
        <f t="shared" si="3"/>
        <v>0</v>
      </c>
      <c r="O9" t="s">
        <v>21</v>
      </c>
      <c r="P9">
        <f t="shared" si="4"/>
        <v>0</v>
      </c>
      <c r="Q9" t="s">
        <v>27</v>
      </c>
      <c r="R9">
        <f t="shared" si="5"/>
        <v>3</v>
      </c>
      <c r="S9" t="s">
        <v>29</v>
      </c>
    </row>
    <row r="10" spans="1:19" x14ac:dyDescent="0.35">
      <c r="A10">
        <v>9</v>
      </c>
      <c r="C10" t="s">
        <v>12</v>
      </c>
      <c r="D10" t="s">
        <v>12</v>
      </c>
      <c r="E10" t="s">
        <v>12</v>
      </c>
      <c r="G10" t="s">
        <v>13</v>
      </c>
      <c r="H10">
        <f t="shared" si="0"/>
        <v>1</v>
      </c>
      <c r="I10" t="s">
        <v>30</v>
      </c>
      <c r="J10">
        <f t="shared" si="1"/>
        <v>1</v>
      </c>
      <c r="K10" t="s">
        <v>32</v>
      </c>
      <c r="L10">
        <f t="shared" si="2"/>
        <v>0</v>
      </c>
      <c r="M10" t="s">
        <v>16</v>
      </c>
      <c r="N10">
        <f t="shared" si="3"/>
        <v>1</v>
      </c>
      <c r="O10" t="s">
        <v>21</v>
      </c>
      <c r="P10">
        <f t="shared" si="4"/>
        <v>0</v>
      </c>
      <c r="Q10" t="s">
        <v>27</v>
      </c>
      <c r="R10">
        <f t="shared" si="5"/>
        <v>3</v>
      </c>
      <c r="S10" t="s">
        <v>31</v>
      </c>
    </row>
    <row r="11" spans="1:19" x14ac:dyDescent="0.35">
      <c r="A11">
        <v>10</v>
      </c>
      <c r="C11" t="s">
        <v>12</v>
      </c>
      <c r="D11" t="s">
        <v>12</v>
      </c>
      <c r="E11" t="s">
        <v>12</v>
      </c>
      <c r="G11" t="s">
        <v>13</v>
      </c>
      <c r="H11">
        <f t="shared" si="0"/>
        <v>1</v>
      </c>
      <c r="I11" t="s">
        <v>30</v>
      </c>
      <c r="J11">
        <f t="shared" si="1"/>
        <v>1</v>
      </c>
      <c r="K11" t="s">
        <v>15</v>
      </c>
      <c r="L11">
        <f t="shared" si="2"/>
        <v>1</v>
      </c>
      <c r="M11" t="s">
        <v>34</v>
      </c>
      <c r="N11">
        <f t="shared" si="3"/>
        <v>0</v>
      </c>
      <c r="O11" t="s">
        <v>17</v>
      </c>
      <c r="P11">
        <f t="shared" si="4"/>
        <v>1</v>
      </c>
      <c r="Q11" t="s">
        <v>18</v>
      </c>
      <c r="R11">
        <f t="shared" si="5"/>
        <v>4</v>
      </c>
      <c r="S11" t="s">
        <v>33</v>
      </c>
    </row>
    <row r="12" spans="1:19" x14ac:dyDescent="0.35">
      <c r="A12">
        <v>11</v>
      </c>
      <c r="C12" t="s">
        <v>12</v>
      </c>
      <c r="D12" t="s">
        <v>12</v>
      </c>
      <c r="E12" t="s">
        <v>12</v>
      </c>
      <c r="G12" t="s">
        <v>13</v>
      </c>
      <c r="H12">
        <f t="shared" si="0"/>
        <v>1</v>
      </c>
      <c r="I12" t="s">
        <v>30</v>
      </c>
      <c r="J12">
        <f t="shared" si="1"/>
        <v>1</v>
      </c>
      <c r="K12" t="s">
        <v>15</v>
      </c>
      <c r="L12">
        <f t="shared" si="2"/>
        <v>1</v>
      </c>
      <c r="M12" t="s">
        <v>34</v>
      </c>
      <c r="N12">
        <f t="shared" si="3"/>
        <v>0</v>
      </c>
      <c r="O12" t="s">
        <v>17</v>
      </c>
      <c r="P12">
        <f t="shared" si="4"/>
        <v>1</v>
      </c>
      <c r="Q12" t="s">
        <v>18</v>
      </c>
      <c r="R12">
        <f t="shared" si="5"/>
        <v>4</v>
      </c>
      <c r="S12" t="s">
        <v>35</v>
      </c>
    </row>
    <row r="13" spans="1:19" x14ac:dyDescent="0.35">
      <c r="A13">
        <v>12</v>
      </c>
      <c r="C13" t="s">
        <v>12</v>
      </c>
      <c r="D13" t="s">
        <v>12</v>
      </c>
      <c r="E13" t="s">
        <v>12</v>
      </c>
      <c r="G13" t="s">
        <v>13</v>
      </c>
      <c r="H13">
        <f t="shared" si="0"/>
        <v>1</v>
      </c>
      <c r="I13" t="s">
        <v>30</v>
      </c>
      <c r="J13">
        <f t="shared" si="1"/>
        <v>1</v>
      </c>
      <c r="K13" t="s">
        <v>15</v>
      </c>
      <c r="L13">
        <f t="shared" si="2"/>
        <v>1</v>
      </c>
      <c r="M13" t="s">
        <v>16</v>
      </c>
      <c r="N13">
        <f t="shared" si="3"/>
        <v>1</v>
      </c>
      <c r="O13" t="s">
        <v>17</v>
      </c>
      <c r="P13">
        <f t="shared" si="4"/>
        <v>1</v>
      </c>
      <c r="Q13" t="s">
        <v>37</v>
      </c>
      <c r="R13">
        <f t="shared" si="5"/>
        <v>5</v>
      </c>
      <c r="S13" t="s">
        <v>36</v>
      </c>
    </row>
    <row r="14" spans="1:19" x14ac:dyDescent="0.35">
      <c r="A14">
        <v>13</v>
      </c>
      <c r="C14" t="s">
        <v>12</v>
      </c>
      <c r="D14" t="s">
        <v>12</v>
      </c>
      <c r="E14" t="s">
        <v>12</v>
      </c>
      <c r="G14" t="s">
        <v>13</v>
      </c>
      <c r="H14">
        <f t="shared" si="0"/>
        <v>1</v>
      </c>
      <c r="I14" t="s">
        <v>30</v>
      </c>
      <c r="J14">
        <f t="shared" si="1"/>
        <v>1</v>
      </c>
      <c r="K14" t="s">
        <v>15</v>
      </c>
      <c r="L14">
        <f t="shared" si="2"/>
        <v>1</v>
      </c>
      <c r="M14" t="s">
        <v>16</v>
      </c>
      <c r="N14">
        <f t="shared" si="3"/>
        <v>1</v>
      </c>
      <c r="O14" t="s">
        <v>21</v>
      </c>
      <c r="P14">
        <f t="shared" si="4"/>
        <v>0</v>
      </c>
      <c r="Q14" t="s">
        <v>18</v>
      </c>
      <c r="R14">
        <f t="shared" si="5"/>
        <v>4</v>
      </c>
      <c r="S14" t="s">
        <v>38</v>
      </c>
    </row>
    <row r="15" spans="1:19" x14ac:dyDescent="0.35">
      <c r="A15">
        <v>14</v>
      </c>
      <c r="C15" t="s">
        <v>12</v>
      </c>
      <c r="D15" t="s">
        <v>12</v>
      </c>
      <c r="E15" t="s">
        <v>12</v>
      </c>
      <c r="G15" t="s">
        <v>13</v>
      </c>
      <c r="H15">
        <f t="shared" si="0"/>
        <v>1</v>
      </c>
      <c r="I15" t="s">
        <v>14</v>
      </c>
      <c r="J15">
        <f t="shared" si="1"/>
        <v>0</v>
      </c>
      <c r="K15" t="s">
        <v>15</v>
      </c>
      <c r="L15">
        <f t="shared" si="2"/>
        <v>1</v>
      </c>
      <c r="M15" t="s">
        <v>20</v>
      </c>
      <c r="N15">
        <f t="shared" si="3"/>
        <v>0</v>
      </c>
      <c r="O15" t="s">
        <v>40</v>
      </c>
      <c r="P15">
        <f t="shared" si="4"/>
        <v>0</v>
      </c>
      <c r="Q15" t="s">
        <v>22</v>
      </c>
      <c r="R15">
        <f t="shared" si="5"/>
        <v>2</v>
      </c>
      <c r="S15" t="s">
        <v>39</v>
      </c>
    </row>
    <row r="16" spans="1:19" x14ac:dyDescent="0.35">
      <c r="A16">
        <v>15</v>
      </c>
      <c r="C16" t="s">
        <v>12</v>
      </c>
      <c r="D16" t="s">
        <v>12</v>
      </c>
      <c r="E16" t="s">
        <v>12</v>
      </c>
      <c r="G16" t="s">
        <v>13</v>
      </c>
      <c r="H16">
        <f t="shared" si="0"/>
        <v>1</v>
      </c>
      <c r="I16" t="s">
        <v>30</v>
      </c>
      <c r="J16">
        <f t="shared" si="1"/>
        <v>1</v>
      </c>
      <c r="K16" t="s">
        <v>15</v>
      </c>
      <c r="L16">
        <f t="shared" si="2"/>
        <v>1</v>
      </c>
      <c r="M16" t="s">
        <v>16</v>
      </c>
      <c r="N16">
        <f t="shared" si="3"/>
        <v>1</v>
      </c>
      <c r="O16" t="s">
        <v>21</v>
      </c>
      <c r="P16">
        <f t="shared" si="4"/>
        <v>0</v>
      </c>
      <c r="Q16" t="s">
        <v>18</v>
      </c>
      <c r="R16">
        <f t="shared" si="5"/>
        <v>4</v>
      </c>
      <c r="S16" t="s">
        <v>41</v>
      </c>
    </row>
    <row r="17" spans="1:19" x14ac:dyDescent="0.35">
      <c r="A17">
        <v>16</v>
      </c>
      <c r="C17" t="s">
        <v>12</v>
      </c>
      <c r="D17" t="s">
        <v>12</v>
      </c>
      <c r="E17" t="s">
        <v>12</v>
      </c>
      <c r="G17" t="s">
        <v>13</v>
      </c>
      <c r="H17">
        <f t="shared" si="0"/>
        <v>1</v>
      </c>
      <c r="I17" t="s">
        <v>30</v>
      </c>
      <c r="J17">
        <f t="shared" si="1"/>
        <v>1</v>
      </c>
      <c r="K17" t="s">
        <v>32</v>
      </c>
      <c r="L17">
        <f t="shared" si="2"/>
        <v>0</v>
      </c>
      <c r="M17" t="s">
        <v>20</v>
      </c>
      <c r="N17">
        <f t="shared" si="3"/>
        <v>0</v>
      </c>
      <c r="O17" t="s">
        <v>21</v>
      </c>
      <c r="P17">
        <f t="shared" si="4"/>
        <v>0</v>
      </c>
      <c r="Q17" t="s">
        <v>22</v>
      </c>
      <c r="R17">
        <f t="shared" si="5"/>
        <v>2</v>
      </c>
      <c r="S17" t="s">
        <v>42</v>
      </c>
    </row>
    <row r="18" spans="1:19" x14ac:dyDescent="0.35">
      <c r="A18">
        <v>17</v>
      </c>
      <c r="C18" t="s">
        <v>12</v>
      </c>
      <c r="D18" t="s">
        <v>12</v>
      </c>
      <c r="E18" t="s">
        <v>12</v>
      </c>
      <c r="G18" t="s">
        <v>13</v>
      </c>
      <c r="H18">
        <f t="shared" si="0"/>
        <v>1</v>
      </c>
      <c r="I18" t="s">
        <v>30</v>
      </c>
      <c r="J18">
        <f t="shared" si="1"/>
        <v>1</v>
      </c>
      <c r="K18" t="s">
        <v>15</v>
      </c>
      <c r="L18">
        <f t="shared" si="2"/>
        <v>1</v>
      </c>
      <c r="M18" t="s">
        <v>34</v>
      </c>
      <c r="N18">
        <f t="shared" si="3"/>
        <v>0</v>
      </c>
      <c r="O18" t="s">
        <v>17</v>
      </c>
      <c r="P18">
        <f t="shared" si="4"/>
        <v>1</v>
      </c>
      <c r="Q18" t="s">
        <v>18</v>
      </c>
      <c r="R18">
        <f t="shared" si="5"/>
        <v>4</v>
      </c>
      <c r="S18" t="s">
        <v>43</v>
      </c>
    </row>
    <row r="19" spans="1:19" x14ac:dyDescent="0.35">
      <c r="A19">
        <v>18</v>
      </c>
      <c r="C19" t="s">
        <v>12</v>
      </c>
      <c r="D19" t="s">
        <v>12</v>
      </c>
      <c r="E19" t="s">
        <v>12</v>
      </c>
      <c r="G19" t="s">
        <v>13</v>
      </c>
      <c r="H19">
        <f t="shared" si="0"/>
        <v>1</v>
      </c>
      <c r="I19" t="s">
        <v>14</v>
      </c>
      <c r="J19">
        <f t="shared" si="1"/>
        <v>0</v>
      </c>
      <c r="K19" t="s">
        <v>15</v>
      </c>
      <c r="L19">
        <f t="shared" si="2"/>
        <v>1</v>
      </c>
      <c r="M19" t="s">
        <v>16</v>
      </c>
      <c r="N19">
        <f t="shared" si="3"/>
        <v>1</v>
      </c>
      <c r="O19" t="s">
        <v>17</v>
      </c>
      <c r="P19">
        <f t="shared" si="4"/>
        <v>1</v>
      </c>
      <c r="Q19" t="s">
        <v>18</v>
      </c>
      <c r="R19">
        <f t="shared" si="5"/>
        <v>4</v>
      </c>
      <c r="S19" t="s">
        <v>44</v>
      </c>
    </row>
    <row r="20" spans="1:19" x14ac:dyDescent="0.35">
      <c r="A20">
        <v>19</v>
      </c>
      <c r="C20" t="s">
        <v>12</v>
      </c>
      <c r="D20" t="s">
        <v>12</v>
      </c>
      <c r="E20" t="s">
        <v>12</v>
      </c>
      <c r="G20" t="s">
        <v>13</v>
      </c>
      <c r="H20">
        <f t="shared" si="0"/>
        <v>1</v>
      </c>
      <c r="I20" t="s">
        <v>14</v>
      </c>
      <c r="J20">
        <f t="shared" si="1"/>
        <v>0</v>
      </c>
      <c r="K20" t="s">
        <v>15</v>
      </c>
      <c r="L20">
        <f t="shared" si="2"/>
        <v>1</v>
      </c>
      <c r="M20" t="s">
        <v>16</v>
      </c>
      <c r="N20">
        <f t="shared" si="3"/>
        <v>1</v>
      </c>
      <c r="O20" t="s">
        <v>17</v>
      </c>
      <c r="P20">
        <f t="shared" si="4"/>
        <v>1</v>
      </c>
      <c r="Q20" t="s">
        <v>18</v>
      </c>
      <c r="R20">
        <f t="shared" si="5"/>
        <v>4</v>
      </c>
      <c r="S20" t="s">
        <v>45</v>
      </c>
    </row>
    <row r="21" spans="1:19" x14ac:dyDescent="0.35">
      <c r="A21">
        <v>20</v>
      </c>
      <c r="C21" t="s">
        <v>12</v>
      </c>
      <c r="D21" t="s">
        <v>12</v>
      </c>
      <c r="E21" t="s">
        <v>12</v>
      </c>
      <c r="G21" t="s">
        <v>13</v>
      </c>
      <c r="H21">
        <f t="shared" si="0"/>
        <v>1</v>
      </c>
      <c r="I21" t="s">
        <v>30</v>
      </c>
      <c r="J21">
        <f t="shared" si="1"/>
        <v>1</v>
      </c>
      <c r="K21" t="s">
        <v>32</v>
      </c>
      <c r="L21">
        <f t="shared" si="2"/>
        <v>0</v>
      </c>
      <c r="M21" t="s">
        <v>16</v>
      </c>
      <c r="N21">
        <f t="shared" si="3"/>
        <v>1</v>
      </c>
      <c r="O21" t="s">
        <v>17</v>
      </c>
      <c r="P21">
        <f t="shared" si="4"/>
        <v>1</v>
      </c>
      <c r="Q21" t="s">
        <v>18</v>
      </c>
      <c r="R21">
        <f t="shared" si="5"/>
        <v>4</v>
      </c>
      <c r="S21" t="s">
        <v>46</v>
      </c>
    </row>
    <row r="22" spans="1:19" x14ac:dyDescent="0.35">
      <c r="A22">
        <v>21</v>
      </c>
      <c r="C22" t="s">
        <v>12</v>
      </c>
      <c r="D22" t="s">
        <v>12</v>
      </c>
      <c r="E22" t="s">
        <v>12</v>
      </c>
      <c r="G22" t="s">
        <v>13</v>
      </c>
      <c r="H22">
        <f t="shared" si="0"/>
        <v>1</v>
      </c>
      <c r="I22" t="s">
        <v>14</v>
      </c>
      <c r="J22">
        <f t="shared" si="1"/>
        <v>0</v>
      </c>
      <c r="K22" t="s">
        <v>48</v>
      </c>
      <c r="L22">
        <f t="shared" si="2"/>
        <v>0</v>
      </c>
      <c r="M22" t="s">
        <v>16</v>
      </c>
      <c r="N22">
        <f t="shared" si="3"/>
        <v>1</v>
      </c>
      <c r="O22" t="s">
        <v>21</v>
      </c>
      <c r="P22">
        <f t="shared" si="4"/>
        <v>0</v>
      </c>
      <c r="Q22" t="s">
        <v>22</v>
      </c>
      <c r="R22">
        <f t="shared" si="5"/>
        <v>2</v>
      </c>
      <c r="S22" t="s">
        <v>47</v>
      </c>
    </row>
    <row r="23" spans="1:19" x14ac:dyDescent="0.35">
      <c r="A23">
        <v>22</v>
      </c>
      <c r="C23" t="s">
        <v>12</v>
      </c>
      <c r="D23" t="s">
        <v>12</v>
      </c>
      <c r="E23" t="s">
        <v>12</v>
      </c>
      <c r="G23" t="s">
        <v>13</v>
      </c>
      <c r="H23">
        <f t="shared" si="0"/>
        <v>1</v>
      </c>
      <c r="I23" t="s">
        <v>30</v>
      </c>
      <c r="J23">
        <f t="shared" si="1"/>
        <v>1</v>
      </c>
      <c r="K23" t="s">
        <v>15</v>
      </c>
      <c r="L23">
        <f t="shared" si="2"/>
        <v>1</v>
      </c>
      <c r="M23" t="s">
        <v>16</v>
      </c>
      <c r="N23">
        <f t="shared" si="3"/>
        <v>1</v>
      </c>
      <c r="O23" t="s">
        <v>17</v>
      </c>
      <c r="P23">
        <f t="shared" si="4"/>
        <v>1</v>
      </c>
      <c r="Q23" t="s">
        <v>37</v>
      </c>
      <c r="R23">
        <f t="shared" si="5"/>
        <v>5</v>
      </c>
      <c r="S23" t="s">
        <v>49</v>
      </c>
    </row>
    <row r="24" spans="1:19" x14ac:dyDescent="0.35">
      <c r="A24">
        <v>23</v>
      </c>
      <c r="C24" t="s">
        <v>12</v>
      </c>
      <c r="D24" t="s">
        <v>12</v>
      </c>
      <c r="E24" t="s">
        <v>12</v>
      </c>
      <c r="G24" t="s">
        <v>13</v>
      </c>
      <c r="H24">
        <f t="shared" si="0"/>
        <v>1</v>
      </c>
      <c r="I24" t="s">
        <v>14</v>
      </c>
      <c r="J24">
        <f t="shared" si="1"/>
        <v>0</v>
      </c>
      <c r="K24" t="s">
        <v>15</v>
      </c>
      <c r="L24">
        <f t="shared" si="2"/>
        <v>1</v>
      </c>
      <c r="M24" t="s">
        <v>16</v>
      </c>
      <c r="N24">
        <f t="shared" si="3"/>
        <v>1</v>
      </c>
      <c r="O24" t="s">
        <v>17</v>
      </c>
      <c r="P24">
        <f t="shared" si="4"/>
        <v>1</v>
      </c>
      <c r="Q24" t="s">
        <v>18</v>
      </c>
      <c r="R24">
        <f t="shared" si="5"/>
        <v>4</v>
      </c>
      <c r="S24" t="s">
        <v>50</v>
      </c>
    </row>
    <row r="25" spans="1:19" x14ac:dyDescent="0.35">
      <c r="A25">
        <v>24</v>
      </c>
      <c r="C25" t="s">
        <v>12</v>
      </c>
      <c r="D25" t="s">
        <v>12</v>
      </c>
      <c r="E25" t="s">
        <v>12</v>
      </c>
      <c r="G25" t="s">
        <v>13</v>
      </c>
      <c r="H25">
        <f t="shared" si="0"/>
        <v>1</v>
      </c>
      <c r="I25" t="s">
        <v>30</v>
      </c>
      <c r="J25">
        <f t="shared" si="1"/>
        <v>1</v>
      </c>
      <c r="K25" t="s">
        <v>15</v>
      </c>
      <c r="L25">
        <f t="shared" si="2"/>
        <v>1</v>
      </c>
      <c r="M25" t="s">
        <v>20</v>
      </c>
      <c r="N25">
        <f t="shared" si="3"/>
        <v>0</v>
      </c>
      <c r="O25" t="s">
        <v>21</v>
      </c>
      <c r="P25">
        <f t="shared" si="4"/>
        <v>0</v>
      </c>
      <c r="Q25" t="s">
        <v>27</v>
      </c>
      <c r="R25">
        <f t="shared" si="5"/>
        <v>3</v>
      </c>
      <c r="S25" t="s">
        <v>51</v>
      </c>
    </row>
    <row r="26" spans="1:19" x14ac:dyDescent="0.35">
      <c r="A26">
        <v>25</v>
      </c>
      <c r="C26" t="s">
        <v>12</v>
      </c>
      <c r="D26" t="s">
        <v>12</v>
      </c>
      <c r="E26" t="s">
        <v>12</v>
      </c>
      <c r="G26" t="s">
        <v>13</v>
      </c>
      <c r="H26">
        <f t="shared" si="0"/>
        <v>1</v>
      </c>
      <c r="I26" t="s">
        <v>30</v>
      </c>
      <c r="J26">
        <f t="shared" si="1"/>
        <v>1</v>
      </c>
      <c r="K26" t="s">
        <v>15</v>
      </c>
      <c r="L26">
        <f t="shared" si="2"/>
        <v>1</v>
      </c>
      <c r="M26" t="s">
        <v>34</v>
      </c>
      <c r="N26">
        <f t="shared" si="3"/>
        <v>0</v>
      </c>
      <c r="O26" t="s">
        <v>17</v>
      </c>
      <c r="P26">
        <f t="shared" si="4"/>
        <v>1</v>
      </c>
      <c r="Q26" t="s">
        <v>18</v>
      </c>
      <c r="R26">
        <f t="shared" si="5"/>
        <v>4</v>
      </c>
      <c r="S26" t="s">
        <v>52</v>
      </c>
    </row>
    <row r="27" spans="1:19" x14ac:dyDescent="0.35">
      <c r="A27">
        <v>26</v>
      </c>
      <c r="C27" t="s">
        <v>12</v>
      </c>
      <c r="D27" t="s">
        <v>12</v>
      </c>
      <c r="E27" t="s">
        <v>12</v>
      </c>
      <c r="G27" t="s">
        <v>13</v>
      </c>
      <c r="H27">
        <f t="shared" si="0"/>
        <v>1</v>
      </c>
      <c r="I27" t="s">
        <v>30</v>
      </c>
      <c r="J27">
        <f t="shared" si="1"/>
        <v>1</v>
      </c>
      <c r="K27" t="s">
        <v>15</v>
      </c>
      <c r="L27">
        <f t="shared" si="2"/>
        <v>1</v>
      </c>
      <c r="M27" t="s">
        <v>20</v>
      </c>
      <c r="N27">
        <f t="shared" si="3"/>
        <v>0</v>
      </c>
      <c r="O27" t="s">
        <v>17</v>
      </c>
      <c r="P27">
        <f t="shared" si="4"/>
        <v>1</v>
      </c>
      <c r="Q27" t="s">
        <v>18</v>
      </c>
      <c r="R27">
        <f t="shared" si="5"/>
        <v>4</v>
      </c>
      <c r="S27" t="s">
        <v>53</v>
      </c>
    </row>
    <row r="28" spans="1:19" x14ac:dyDescent="0.35">
      <c r="A28">
        <v>27</v>
      </c>
      <c r="C28" t="s">
        <v>12</v>
      </c>
      <c r="D28" t="s">
        <v>12</v>
      </c>
      <c r="E28" t="s">
        <v>12</v>
      </c>
      <c r="G28" t="s">
        <v>13</v>
      </c>
      <c r="H28">
        <f t="shared" si="0"/>
        <v>1</v>
      </c>
      <c r="I28" t="s">
        <v>30</v>
      </c>
      <c r="J28">
        <f t="shared" si="1"/>
        <v>1</v>
      </c>
      <c r="K28" t="s">
        <v>15</v>
      </c>
      <c r="L28">
        <f t="shared" si="2"/>
        <v>1</v>
      </c>
      <c r="M28" t="s">
        <v>16</v>
      </c>
      <c r="N28">
        <f t="shared" si="3"/>
        <v>1</v>
      </c>
      <c r="O28" t="s">
        <v>21</v>
      </c>
      <c r="P28">
        <f t="shared" si="4"/>
        <v>0</v>
      </c>
      <c r="Q28" t="s">
        <v>18</v>
      </c>
      <c r="R28">
        <f t="shared" si="5"/>
        <v>4</v>
      </c>
      <c r="S28" t="s">
        <v>54</v>
      </c>
    </row>
    <row r="29" spans="1:19" x14ac:dyDescent="0.35">
      <c r="A29">
        <v>28</v>
      </c>
      <c r="C29" t="s">
        <v>12</v>
      </c>
      <c r="D29" t="s">
        <v>12</v>
      </c>
      <c r="E29" t="s">
        <v>12</v>
      </c>
      <c r="G29" t="s">
        <v>13</v>
      </c>
      <c r="H29">
        <f t="shared" si="0"/>
        <v>1</v>
      </c>
      <c r="I29" t="s">
        <v>30</v>
      </c>
      <c r="J29">
        <f t="shared" si="1"/>
        <v>1</v>
      </c>
      <c r="K29" t="s">
        <v>15</v>
      </c>
      <c r="L29">
        <f t="shared" si="2"/>
        <v>1</v>
      </c>
      <c r="M29" t="s">
        <v>16</v>
      </c>
      <c r="N29">
        <f t="shared" si="3"/>
        <v>1</v>
      </c>
      <c r="O29" t="s">
        <v>21</v>
      </c>
      <c r="P29">
        <f t="shared" si="4"/>
        <v>0</v>
      </c>
      <c r="Q29" t="s">
        <v>18</v>
      </c>
      <c r="R29">
        <f t="shared" si="5"/>
        <v>4</v>
      </c>
      <c r="S29" t="s">
        <v>55</v>
      </c>
    </row>
    <row r="30" spans="1:19" x14ac:dyDescent="0.35">
      <c r="A30">
        <v>29</v>
      </c>
      <c r="C30" t="s">
        <v>12</v>
      </c>
      <c r="D30" t="s">
        <v>12</v>
      </c>
      <c r="E30" t="s">
        <v>12</v>
      </c>
      <c r="G30" t="s">
        <v>13</v>
      </c>
      <c r="H30">
        <f t="shared" si="0"/>
        <v>1</v>
      </c>
      <c r="I30" t="s">
        <v>30</v>
      </c>
      <c r="J30">
        <f t="shared" si="1"/>
        <v>1</v>
      </c>
      <c r="K30" t="s">
        <v>15</v>
      </c>
      <c r="L30">
        <f t="shared" si="2"/>
        <v>1</v>
      </c>
      <c r="M30" t="s">
        <v>20</v>
      </c>
      <c r="N30">
        <f t="shared" si="3"/>
        <v>0</v>
      </c>
      <c r="O30" t="s">
        <v>21</v>
      </c>
      <c r="P30">
        <f t="shared" si="4"/>
        <v>0</v>
      </c>
      <c r="Q30" t="s">
        <v>27</v>
      </c>
      <c r="R30">
        <f t="shared" si="5"/>
        <v>3</v>
      </c>
      <c r="S30" t="s">
        <v>56</v>
      </c>
    </row>
    <row r="31" spans="1:19" x14ac:dyDescent="0.35">
      <c r="A31">
        <v>30</v>
      </c>
      <c r="C31" t="s">
        <v>12</v>
      </c>
      <c r="D31" t="s">
        <v>12</v>
      </c>
      <c r="E31" t="s">
        <v>12</v>
      </c>
      <c r="G31" t="s">
        <v>13</v>
      </c>
      <c r="H31">
        <f t="shared" si="0"/>
        <v>1</v>
      </c>
      <c r="I31" t="s">
        <v>30</v>
      </c>
      <c r="J31">
        <f t="shared" si="1"/>
        <v>1</v>
      </c>
      <c r="K31" t="s">
        <v>15</v>
      </c>
      <c r="L31">
        <f t="shared" si="2"/>
        <v>1</v>
      </c>
      <c r="M31" t="s">
        <v>34</v>
      </c>
      <c r="N31">
        <f t="shared" si="3"/>
        <v>0</v>
      </c>
      <c r="O31" t="s">
        <v>17</v>
      </c>
      <c r="P31">
        <f t="shared" si="4"/>
        <v>1</v>
      </c>
      <c r="Q31" t="s">
        <v>18</v>
      </c>
      <c r="R31">
        <f t="shared" si="5"/>
        <v>4</v>
      </c>
      <c r="S31" t="s">
        <v>57</v>
      </c>
    </row>
    <row r="32" spans="1:19" x14ac:dyDescent="0.35">
      <c r="A32">
        <v>31</v>
      </c>
      <c r="C32" t="s">
        <v>12</v>
      </c>
      <c r="D32" t="s">
        <v>12</v>
      </c>
      <c r="E32" t="s">
        <v>12</v>
      </c>
      <c r="G32" t="s">
        <v>13</v>
      </c>
      <c r="H32">
        <f t="shared" si="0"/>
        <v>1</v>
      </c>
      <c r="I32" t="s">
        <v>30</v>
      </c>
      <c r="J32">
        <f t="shared" si="1"/>
        <v>1</v>
      </c>
      <c r="K32" t="s">
        <v>15</v>
      </c>
      <c r="L32">
        <f t="shared" si="2"/>
        <v>1</v>
      </c>
      <c r="M32" t="s">
        <v>16</v>
      </c>
      <c r="N32">
        <f t="shared" si="3"/>
        <v>1</v>
      </c>
      <c r="O32" t="s">
        <v>17</v>
      </c>
      <c r="P32">
        <f t="shared" si="4"/>
        <v>1</v>
      </c>
      <c r="Q32" t="s">
        <v>37</v>
      </c>
      <c r="R32">
        <f t="shared" si="5"/>
        <v>5</v>
      </c>
      <c r="S32" t="s">
        <v>58</v>
      </c>
    </row>
    <row r="33" spans="1:19" x14ac:dyDescent="0.35">
      <c r="A33">
        <v>32</v>
      </c>
      <c r="C33" t="s">
        <v>12</v>
      </c>
      <c r="D33" t="s">
        <v>12</v>
      </c>
      <c r="E33" t="s">
        <v>12</v>
      </c>
      <c r="G33" t="s">
        <v>13</v>
      </c>
      <c r="H33">
        <f t="shared" si="0"/>
        <v>1</v>
      </c>
      <c r="I33" t="s">
        <v>30</v>
      </c>
      <c r="J33">
        <f t="shared" si="1"/>
        <v>1</v>
      </c>
      <c r="K33" t="s">
        <v>15</v>
      </c>
      <c r="L33">
        <f t="shared" si="2"/>
        <v>1</v>
      </c>
      <c r="M33" t="s">
        <v>16</v>
      </c>
      <c r="N33">
        <f t="shared" si="3"/>
        <v>1</v>
      </c>
      <c r="O33" t="s">
        <v>17</v>
      </c>
      <c r="P33">
        <f t="shared" si="4"/>
        <v>1</v>
      </c>
      <c r="Q33" t="s">
        <v>37</v>
      </c>
      <c r="R33">
        <f t="shared" si="5"/>
        <v>5</v>
      </c>
      <c r="S33" t="s">
        <v>59</v>
      </c>
    </row>
    <row r="34" spans="1:19" x14ac:dyDescent="0.35">
      <c r="A34">
        <v>33</v>
      </c>
      <c r="C34" t="s">
        <v>12</v>
      </c>
      <c r="D34" t="s">
        <v>12</v>
      </c>
      <c r="E34" t="s">
        <v>12</v>
      </c>
      <c r="G34" t="s">
        <v>13</v>
      </c>
      <c r="H34">
        <f t="shared" si="0"/>
        <v>1</v>
      </c>
      <c r="I34" t="s">
        <v>30</v>
      </c>
      <c r="J34">
        <f t="shared" si="1"/>
        <v>1</v>
      </c>
      <c r="K34" t="s">
        <v>15</v>
      </c>
      <c r="L34">
        <f t="shared" si="2"/>
        <v>1</v>
      </c>
      <c r="M34" t="s">
        <v>16</v>
      </c>
      <c r="N34">
        <f t="shared" si="3"/>
        <v>1</v>
      </c>
      <c r="O34" t="s">
        <v>21</v>
      </c>
      <c r="P34">
        <f t="shared" si="4"/>
        <v>0</v>
      </c>
      <c r="Q34" t="s">
        <v>18</v>
      </c>
      <c r="R34">
        <f t="shared" si="5"/>
        <v>4</v>
      </c>
      <c r="S34" t="s">
        <v>60</v>
      </c>
    </row>
    <row r="35" spans="1:19" x14ac:dyDescent="0.35">
      <c r="A35">
        <v>34</v>
      </c>
      <c r="C35" t="s">
        <v>12</v>
      </c>
      <c r="D35" t="s">
        <v>12</v>
      </c>
      <c r="E35" t="s">
        <v>12</v>
      </c>
      <c r="G35" t="s">
        <v>62</v>
      </c>
      <c r="H35">
        <f t="shared" si="0"/>
        <v>0</v>
      </c>
      <c r="I35" t="s">
        <v>14</v>
      </c>
      <c r="J35">
        <f t="shared" si="1"/>
        <v>0</v>
      </c>
      <c r="K35" t="s">
        <v>15</v>
      </c>
      <c r="L35">
        <f t="shared" si="2"/>
        <v>1</v>
      </c>
      <c r="M35" t="s">
        <v>20</v>
      </c>
      <c r="N35">
        <f t="shared" si="3"/>
        <v>0</v>
      </c>
      <c r="O35" t="s">
        <v>17</v>
      </c>
      <c r="P35">
        <f t="shared" si="4"/>
        <v>1</v>
      </c>
      <c r="Q35" t="s">
        <v>63</v>
      </c>
      <c r="R35">
        <f t="shared" si="5"/>
        <v>2</v>
      </c>
      <c r="S35" t="s">
        <v>61</v>
      </c>
    </row>
    <row r="36" spans="1:19" x14ac:dyDescent="0.35">
      <c r="A36">
        <v>35</v>
      </c>
      <c r="C36" t="s">
        <v>12</v>
      </c>
      <c r="D36" t="s">
        <v>12</v>
      </c>
      <c r="E36" t="s">
        <v>12</v>
      </c>
      <c r="G36" t="s">
        <v>13</v>
      </c>
      <c r="H36">
        <f t="shared" si="0"/>
        <v>1</v>
      </c>
      <c r="I36" t="s">
        <v>30</v>
      </c>
      <c r="J36">
        <f t="shared" si="1"/>
        <v>1</v>
      </c>
      <c r="K36" t="s">
        <v>15</v>
      </c>
      <c r="L36">
        <f t="shared" si="2"/>
        <v>1</v>
      </c>
      <c r="M36" t="s">
        <v>16</v>
      </c>
      <c r="N36">
        <f t="shared" si="3"/>
        <v>1</v>
      </c>
      <c r="O36" t="s">
        <v>21</v>
      </c>
      <c r="P36">
        <f t="shared" si="4"/>
        <v>0</v>
      </c>
      <c r="Q36" t="s">
        <v>18</v>
      </c>
      <c r="R36">
        <f t="shared" si="5"/>
        <v>4</v>
      </c>
      <c r="S36" t="s">
        <v>64</v>
      </c>
    </row>
    <row r="37" spans="1:19" x14ac:dyDescent="0.35">
      <c r="A37">
        <v>36</v>
      </c>
      <c r="C37" t="s">
        <v>12</v>
      </c>
      <c r="D37" t="s">
        <v>12</v>
      </c>
      <c r="E37" t="s">
        <v>12</v>
      </c>
      <c r="G37" t="s">
        <v>13</v>
      </c>
      <c r="H37">
        <f t="shared" si="0"/>
        <v>1</v>
      </c>
      <c r="I37" t="s">
        <v>30</v>
      </c>
      <c r="J37">
        <f t="shared" si="1"/>
        <v>1</v>
      </c>
      <c r="K37" t="s">
        <v>15</v>
      </c>
      <c r="L37">
        <f t="shared" si="2"/>
        <v>1</v>
      </c>
      <c r="M37" t="s">
        <v>34</v>
      </c>
      <c r="N37">
        <f t="shared" si="3"/>
        <v>0</v>
      </c>
      <c r="O37" t="s">
        <v>17</v>
      </c>
      <c r="P37">
        <f t="shared" si="4"/>
        <v>1</v>
      </c>
      <c r="Q37" t="s">
        <v>18</v>
      </c>
      <c r="R37">
        <f t="shared" si="5"/>
        <v>4</v>
      </c>
      <c r="S37" t="s">
        <v>65</v>
      </c>
    </row>
    <row r="38" spans="1:19" x14ac:dyDescent="0.35">
      <c r="A38">
        <v>37</v>
      </c>
      <c r="C38" t="s">
        <v>12</v>
      </c>
      <c r="D38" t="s">
        <v>12</v>
      </c>
      <c r="E38" t="s">
        <v>12</v>
      </c>
      <c r="G38" t="s">
        <v>13</v>
      </c>
      <c r="H38">
        <f t="shared" si="0"/>
        <v>1</v>
      </c>
      <c r="I38" t="s">
        <v>14</v>
      </c>
      <c r="J38">
        <f t="shared" si="1"/>
        <v>0</v>
      </c>
      <c r="K38" t="s">
        <v>15</v>
      </c>
      <c r="L38">
        <f t="shared" si="2"/>
        <v>1</v>
      </c>
      <c r="M38" t="s">
        <v>20</v>
      </c>
      <c r="N38">
        <f t="shared" si="3"/>
        <v>0</v>
      </c>
      <c r="O38" t="s">
        <v>21</v>
      </c>
      <c r="P38">
        <f t="shared" si="4"/>
        <v>0</v>
      </c>
      <c r="Q38" t="s">
        <v>22</v>
      </c>
      <c r="R38">
        <f t="shared" si="5"/>
        <v>2</v>
      </c>
      <c r="S38" t="s">
        <v>66</v>
      </c>
    </row>
    <row r="39" spans="1:19" x14ac:dyDescent="0.35">
      <c r="A39">
        <v>38</v>
      </c>
      <c r="C39" t="s">
        <v>12</v>
      </c>
      <c r="D39" t="s">
        <v>12</v>
      </c>
      <c r="E39" t="s">
        <v>12</v>
      </c>
      <c r="G39" t="s">
        <v>62</v>
      </c>
      <c r="H39">
        <f t="shared" si="0"/>
        <v>0</v>
      </c>
      <c r="I39" t="s">
        <v>14</v>
      </c>
      <c r="J39">
        <f t="shared" si="1"/>
        <v>0</v>
      </c>
      <c r="K39" t="s">
        <v>68</v>
      </c>
      <c r="L39">
        <f t="shared" si="2"/>
        <v>0</v>
      </c>
      <c r="M39" t="s">
        <v>69</v>
      </c>
      <c r="N39">
        <f t="shared" si="3"/>
        <v>0</v>
      </c>
      <c r="O39" t="s">
        <v>21</v>
      </c>
      <c r="P39">
        <f t="shared" si="4"/>
        <v>0</v>
      </c>
      <c r="Q39" t="s">
        <v>70</v>
      </c>
      <c r="R39">
        <f t="shared" si="5"/>
        <v>0</v>
      </c>
      <c r="S39" t="s">
        <v>67</v>
      </c>
    </row>
    <row r="40" spans="1:19" x14ac:dyDescent="0.35">
      <c r="A40">
        <v>39</v>
      </c>
      <c r="C40" t="s">
        <v>12</v>
      </c>
      <c r="D40" t="s">
        <v>12</v>
      </c>
      <c r="E40" t="s">
        <v>12</v>
      </c>
      <c r="G40" t="s">
        <v>13</v>
      </c>
      <c r="H40">
        <f t="shared" si="0"/>
        <v>1</v>
      </c>
      <c r="I40" t="s">
        <v>30</v>
      </c>
      <c r="J40">
        <f t="shared" si="1"/>
        <v>1</v>
      </c>
      <c r="K40" t="s">
        <v>15</v>
      </c>
      <c r="L40">
        <f t="shared" si="2"/>
        <v>1</v>
      </c>
      <c r="M40" t="s">
        <v>16</v>
      </c>
      <c r="N40">
        <f t="shared" si="3"/>
        <v>1</v>
      </c>
      <c r="O40" t="s">
        <v>21</v>
      </c>
      <c r="P40">
        <f t="shared" si="4"/>
        <v>0</v>
      </c>
      <c r="Q40" t="s">
        <v>18</v>
      </c>
      <c r="R40">
        <f t="shared" si="5"/>
        <v>4</v>
      </c>
      <c r="S40" t="s">
        <v>71</v>
      </c>
    </row>
    <row r="41" spans="1:19" x14ac:dyDescent="0.35">
      <c r="A41">
        <v>40</v>
      </c>
      <c r="C41" t="s">
        <v>12</v>
      </c>
      <c r="D41" t="s">
        <v>12</v>
      </c>
      <c r="E41" t="s">
        <v>12</v>
      </c>
      <c r="G41" t="s">
        <v>13</v>
      </c>
      <c r="H41">
        <f t="shared" si="0"/>
        <v>1</v>
      </c>
      <c r="I41" t="s">
        <v>30</v>
      </c>
      <c r="J41">
        <f t="shared" si="1"/>
        <v>1</v>
      </c>
      <c r="K41" t="s">
        <v>15</v>
      </c>
      <c r="L41">
        <f t="shared" si="2"/>
        <v>1</v>
      </c>
      <c r="M41" t="s">
        <v>16</v>
      </c>
      <c r="N41">
        <f t="shared" si="3"/>
        <v>1</v>
      </c>
      <c r="O41" t="s">
        <v>21</v>
      </c>
      <c r="P41">
        <f t="shared" si="4"/>
        <v>0</v>
      </c>
      <c r="Q41" t="s">
        <v>18</v>
      </c>
      <c r="R41">
        <f t="shared" si="5"/>
        <v>4</v>
      </c>
      <c r="S41" t="s">
        <v>72</v>
      </c>
    </row>
    <row r="42" spans="1:19" x14ac:dyDescent="0.35">
      <c r="A42">
        <v>41</v>
      </c>
      <c r="C42" t="s">
        <v>12</v>
      </c>
      <c r="D42" t="s">
        <v>12</v>
      </c>
      <c r="E42" t="s">
        <v>12</v>
      </c>
      <c r="G42" t="s">
        <v>13</v>
      </c>
      <c r="H42">
        <f t="shared" si="0"/>
        <v>1</v>
      </c>
      <c r="I42" t="s">
        <v>69</v>
      </c>
      <c r="J42">
        <f t="shared" si="1"/>
        <v>0</v>
      </c>
      <c r="K42" t="s">
        <v>15</v>
      </c>
      <c r="L42">
        <f t="shared" si="2"/>
        <v>1</v>
      </c>
      <c r="M42" t="s">
        <v>34</v>
      </c>
      <c r="N42">
        <f t="shared" si="3"/>
        <v>0</v>
      </c>
      <c r="O42" t="s">
        <v>21</v>
      </c>
      <c r="P42">
        <f t="shared" si="4"/>
        <v>0</v>
      </c>
      <c r="Q42" t="s">
        <v>22</v>
      </c>
      <c r="R42">
        <f t="shared" si="5"/>
        <v>2</v>
      </c>
      <c r="S42" t="s">
        <v>73</v>
      </c>
    </row>
    <row r="43" spans="1:19" x14ac:dyDescent="0.35">
      <c r="A43">
        <v>42</v>
      </c>
      <c r="C43" t="s">
        <v>12</v>
      </c>
      <c r="D43" t="s">
        <v>12</v>
      </c>
      <c r="E43" t="s">
        <v>12</v>
      </c>
      <c r="G43" t="s">
        <v>14</v>
      </c>
      <c r="H43">
        <f t="shared" si="0"/>
        <v>0</v>
      </c>
      <c r="I43" t="s">
        <v>14</v>
      </c>
      <c r="J43">
        <f t="shared" si="1"/>
        <v>0</v>
      </c>
      <c r="K43" t="s">
        <v>15</v>
      </c>
      <c r="L43">
        <f t="shared" si="2"/>
        <v>1</v>
      </c>
      <c r="M43" t="s">
        <v>16</v>
      </c>
      <c r="N43">
        <f t="shared" si="3"/>
        <v>1</v>
      </c>
      <c r="O43" t="s">
        <v>17</v>
      </c>
      <c r="P43">
        <f t="shared" si="4"/>
        <v>1</v>
      </c>
      <c r="Q43" t="s">
        <v>22</v>
      </c>
      <c r="R43">
        <f t="shared" si="5"/>
        <v>3</v>
      </c>
      <c r="S43" t="s">
        <v>74</v>
      </c>
    </row>
    <row r="44" spans="1:19" x14ac:dyDescent="0.35">
      <c r="A44">
        <v>43</v>
      </c>
      <c r="C44" t="s">
        <v>12</v>
      </c>
      <c r="D44" t="s">
        <v>12</v>
      </c>
      <c r="E44" t="s">
        <v>12</v>
      </c>
      <c r="G44" t="s">
        <v>13</v>
      </c>
      <c r="H44">
        <f t="shared" si="0"/>
        <v>1</v>
      </c>
      <c r="I44" t="s">
        <v>30</v>
      </c>
      <c r="J44">
        <f t="shared" si="1"/>
        <v>1</v>
      </c>
      <c r="K44" t="s">
        <v>15</v>
      </c>
      <c r="L44">
        <f t="shared" si="2"/>
        <v>1</v>
      </c>
      <c r="M44" t="s">
        <v>20</v>
      </c>
      <c r="N44">
        <f t="shared" si="3"/>
        <v>0</v>
      </c>
      <c r="O44" t="s">
        <v>21</v>
      </c>
      <c r="P44">
        <f t="shared" si="4"/>
        <v>0</v>
      </c>
      <c r="Q44" t="s">
        <v>27</v>
      </c>
      <c r="R44">
        <f t="shared" si="5"/>
        <v>3</v>
      </c>
      <c r="S44" t="s">
        <v>75</v>
      </c>
    </row>
    <row r="45" spans="1:19" x14ac:dyDescent="0.35">
      <c r="A45">
        <v>44</v>
      </c>
      <c r="C45" t="s">
        <v>12</v>
      </c>
      <c r="D45" t="s">
        <v>12</v>
      </c>
      <c r="E45" t="s">
        <v>12</v>
      </c>
      <c r="G45" t="s">
        <v>13</v>
      </c>
      <c r="H45">
        <f t="shared" si="0"/>
        <v>1</v>
      </c>
      <c r="I45" t="s">
        <v>30</v>
      </c>
      <c r="J45">
        <f t="shared" si="1"/>
        <v>1</v>
      </c>
      <c r="K45" t="s">
        <v>15</v>
      </c>
      <c r="L45">
        <f t="shared" si="2"/>
        <v>1</v>
      </c>
      <c r="M45" t="s">
        <v>16</v>
      </c>
      <c r="N45">
        <f t="shared" si="3"/>
        <v>1</v>
      </c>
      <c r="O45" t="s">
        <v>17</v>
      </c>
      <c r="P45">
        <f t="shared" si="4"/>
        <v>1</v>
      </c>
      <c r="Q45" t="s">
        <v>37</v>
      </c>
      <c r="R45">
        <f t="shared" si="5"/>
        <v>5</v>
      </c>
      <c r="S45" t="s">
        <v>76</v>
      </c>
    </row>
    <row r="46" spans="1:19" x14ac:dyDescent="0.35">
      <c r="A46">
        <v>45</v>
      </c>
      <c r="C46" t="s">
        <v>12</v>
      </c>
      <c r="D46" t="s">
        <v>12</v>
      </c>
      <c r="E46" t="s">
        <v>12</v>
      </c>
      <c r="G46" t="s">
        <v>13</v>
      </c>
      <c r="H46">
        <f t="shared" si="0"/>
        <v>1</v>
      </c>
      <c r="I46" t="s">
        <v>30</v>
      </c>
      <c r="J46">
        <f t="shared" si="1"/>
        <v>1</v>
      </c>
      <c r="K46" t="s">
        <v>15</v>
      </c>
      <c r="L46">
        <f t="shared" si="2"/>
        <v>1</v>
      </c>
      <c r="M46" t="s">
        <v>16</v>
      </c>
      <c r="N46">
        <f t="shared" si="3"/>
        <v>1</v>
      </c>
      <c r="O46" t="s">
        <v>17</v>
      </c>
      <c r="P46">
        <f t="shared" si="4"/>
        <v>1</v>
      </c>
      <c r="Q46" t="s">
        <v>37</v>
      </c>
      <c r="R46">
        <f t="shared" si="5"/>
        <v>5</v>
      </c>
      <c r="S46" t="s">
        <v>77</v>
      </c>
    </row>
    <row r="47" spans="1:19" x14ac:dyDescent="0.35">
      <c r="A47">
        <v>46</v>
      </c>
      <c r="C47" t="s">
        <v>12</v>
      </c>
      <c r="D47" t="s">
        <v>12</v>
      </c>
      <c r="E47" t="s">
        <v>12</v>
      </c>
      <c r="G47" t="s">
        <v>14</v>
      </c>
      <c r="H47">
        <f t="shared" si="0"/>
        <v>0</v>
      </c>
      <c r="I47" t="s">
        <v>14</v>
      </c>
      <c r="J47">
        <f t="shared" si="1"/>
        <v>0</v>
      </c>
      <c r="K47" t="s">
        <v>15</v>
      </c>
      <c r="L47">
        <f t="shared" si="2"/>
        <v>1</v>
      </c>
      <c r="M47" t="s">
        <v>16</v>
      </c>
      <c r="N47">
        <f t="shared" si="3"/>
        <v>1</v>
      </c>
      <c r="O47" t="s">
        <v>17</v>
      </c>
      <c r="P47">
        <f t="shared" si="4"/>
        <v>1</v>
      </c>
      <c r="Q47" t="s">
        <v>22</v>
      </c>
      <c r="R47">
        <f t="shared" si="5"/>
        <v>3</v>
      </c>
      <c r="S47" t="s">
        <v>78</v>
      </c>
    </row>
    <row r="48" spans="1:19" x14ac:dyDescent="0.35">
      <c r="A48">
        <v>47</v>
      </c>
      <c r="C48" t="s">
        <v>12</v>
      </c>
      <c r="D48" t="s">
        <v>12</v>
      </c>
      <c r="E48" t="s">
        <v>12</v>
      </c>
      <c r="G48" t="s">
        <v>13</v>
      </c>
      <c r="H48">
        <f t="shared" si="0"/>
        <v>1</v>
      </c>
      <c r="I48" t="s">
        <v>14</v>
      </c>
      <c r="J48">
        <f t="shared" si="1"/>
        <v>0</v>
      </c>
      <c r="K48" t="s">
        <v>15</v>
      </c>
      <c r="L48">
        <f t="shared" si="2"/>
        <v>1</v>
      </c>
      <c r="M48" t="s">
        <v>16</v>
      </c>
      <c r="N48">
        <f t="shared" si="3"/>
        <v>1</v>
      </c>
      <c r="O48" t="s">
        <v>40</v>
      </c>
      <c r="P48">
        <f t="shared" si="4"/>
        <v>0</v>
      </c>
      <c r="Q48" t="s">
        <v>27</v>
      </c>
      <c r="R48">
        <f t="shared" si="5"/>
        <v>3</v>
      </c>
      <c r="S48" t="s">
        <v>79</v>
      </c>
    </row>
    <row r="49" spans="1:19" x14ac:dyDescent="0.35">
      <c r="A49">
        <v>48</v>
      </c>
      <c r="C49" t="s">
        <v>12</v>
      </c>
      <c r="D49" t="s">
        <v>12</v>
      </c>
      <c r="E49" t="s">
        <v>12</v>
      </c>
      <c r="G49" t="s">
        <v>13</v>
      </c>
      <c r="H49">
        <f t="shared" si="0"/>
        <v>1</v>
      </c>
      <c r="I49" t="s">
        <v>30</v>
      </c>
      <c r="J49">
        <f t="shared" si="1"/>
        <v>1</v>
      </c>
      <c r="K49" t="s">
        <v>15</v>
      </c>
      <c r="L49">
        <f t="shared" si="2"/>
        <v>1</v>
      </c>
      <c r="M49" t="s">
        <v>34</v>
      </c>
      <c r="N49">
        <f t="shared" si="3"/>
        <v>0</v>
      </c>
      <c r="O49" t="s">
        <v>17</v>
      </c>
      <c r="P49">
        <f t="shared" si="4"/>
        <v>1</v>
      </c>
      <c r="Q49" t="s">
        <v>18</v>
      </c>
      <c r="R49">
        <f t="shared" si="5"/>
        <v>4</v>
      </c>
      <c r="S49" t="s">
        <v>80</v>
      </c>
    </row>
    <row r="50" spans="1:19" x14ac:dyDescent="0.35">
      <c r="A50">
        <v>49</v>
      </c>
      <c r="C50" t="s">
        <v>12</v>
      </c>
      <c r="D50" t="s">
        <v>12</v>
      </c>
      <c r="E50" t="s">
        <v>12</v>
      </c>
      <c r="G50" t="s">
        <v>13</v>
      </c>
      <c r="H50">
        <f t="shared" si="0"/>
        <v>1</v>
      </c>
      <c r="I50" t="s">
        <v>82</v>
      </c>
      <c r="J50">
        <f t="shared" si="1"/>
        <v>0</v>
      </c>
      <c r="K50" t="s">
        <v>15</v>
      </c>
      <c r="L50">
        <f t="shared" si="2"/>
        <v>1</v>
      </c>
      <c r="M50" t="s">
        <v>34</v>
      </c>
      <c r="N50">
        <f t="shared" si="3"/>
        <v>0</v>
      </c>
      <c r="O50" t="s">
        <v>17</v>
      </c>
      <c r="P50">
        <f t="shared" si="4"/>
        <v>1</v>
      </c>
      <c r="Q50" t="s">
        <v>27</v>
      </c>
      <c r="R50">
        <f t="shared" si="5"/>
        <v>3</v>
      </c>
      <c r="S50" t="s">
        <v>81</v>
      </c>
    </row>
    <row r="51" spans="1:19" x14ac:dyDescent="0.35">
      <c r="A51">
        <v>50</v>
      </c>
      <c r="C51" t="s">
        <v>12</v>
      </c>
      <c r="D51" t="s">
        <v>12</v>
      </c>
      <c r="E51" t="s">
        <v>12</v>
      </c>
      <c r="G51" t="s">
        <v>13</v>
      </c>
      <c r="H51">
        <f t="shared" si="0"/>
        <v>1</v>
      </c>
      <c r="I51" t="s">
        <v>30</v>
      </c>
      <c r="J51">
        <f t="shared" si="1"/>
        <v>1</v>
      </c>
      <c r="K51" t="s">
        <v>15</v>
      </c>
      <c r="L51">
        <f t="shared" si="2"/>
        <v>1</v>
      </c>
      <c r="M51" t="s">
        <v>16</v>
      </c>
      <c r="N51">
        <f t="shared" si="3"/>
        <v>1</v>
      </c>
      <c r="O51" t="s">
        <v>21</v>
      </c>
      <c r="P51">
        <f t="shared" si="4"/>
        <v>0</v>
      </c>
      <c r="Q51" t="s">
        <v>18</v>
      </c>
      <c r="R51">
        <f t="shared" si="5"/>
        <v>4</v>
      </c>
      <c r="S51" t="s">
        <v>83</v>
      </c>
    </row>
    <row r="52" spans="1:19" x14ac:dyDescent="0.35">
      <c r="A52">
        <v>51</v>
      </c>
      <c r="C52" t="s">
        <v>12</v>
      </c>
      <c r="D52" t="s">
        <v>12</v>
      </c>
      <c r="E52" t="s">
        <v>12</v>
      </c>
      <c r="G52" t="s">
        <v>13</v>
      </c>
      <c r="H52">
        <f t="shared" si="0"/>
        <v>1</v>
      </c>
      <c r="I52" t="s">
        <v>14</v>
      </c>
      <c r="J52">
        <f t="shared" si="1"/>
        <v>0</v>
      </c>
      <c r="K52" t="s">
        <v>15</v>
      </c>
      <c r="L52">
        <f t="shared" si="2"/>
        <v>1</v>
      </c>
      <c r="M52" t="s">
        <v>69</v>
      </c>
      <c r="N52">
        <f t="shared" si="3"/>
        <v>0</v>
      </c>
      <c r="O52" t="s">
        <v>17</v>
      </c>
      <c r="P52">
        <f t="shared" si="4"/>
        <v>1</v>
      </c>
      <c r="Q52" t="s">
        <v>27</v>
      </c>
      <c r="R52">
        <f t="shared" si="5"/>
        <v>3</v>
      </c>
      <c r="S52" t="s">
        <v>84</v>
      </c>
    </row>
    <row r="53" spans="1:19" x14ac:dyDescent="0.35">
      <c r="A53">
        <v>52</v>
      </c>
      <c r="C53" t="s">
        <v>12</v>
      </c>
      <c r="D53" t="s">
        <v>12</v>
      </c>
      <c r="E53" t="s">
        <v>12</v>
      </c>
      <c r="G53" t="s">
        <v>13</v>
      </c>
      <c r="H53">
        <f t="shared" si="0"/>
        <v>1</v>
      </c>
      <c r="I53" t="s">
        <v>30</v>
      </c>
      <c r="J53">
        <f t="shared" si="1"/>
        <v>1</v>
      </c>
      <c r="K53" t="s">
        <v>69</v>
      </c>
      <c r="L53">
        <f t="shared" si="2"/>
        <v>0</v>
      </c>
      <c r="M53" t="s">
        <v>16</v>
      </c>
      <c r="N53">
        <f t="shared" si="3"/>
        <v>1</v>
      </c>
      <c r="O53" t="s">
        <v>17</v>
      </c>
      <c r="P53">
        <f t="shared" si="4"/>
        <v>1</v>
      </c>
      <c r="Q53" t="s">
        <v>18</v>
      </c>
      <c r="R53">
        <f t="shared" si="5"/>
        <v>4</v>
      </c>
      <c r="S53" t="s">
        <v>85</v>
      </c>
    </row>
    <row r="54" spans="1:19" x14ac:dyDescent="0.35">
      <c r="A54">
        <v>53</v>
      </c>
      <c r="C54" t="s">
        <v>12</v>
      </c>
      <c r="D54" t="s">
        <v>12</v>
      </c>
      <c r="E54" t="s">
        <v>12</v>
      </c>
      <c r="G54" t="s">
        <v>13</v>
      </c>
      <c r="H54">
        <f t="shared" si="0"/>
        <v>1</v>
      </c>
      <c r="I54" t="s">
        <v>30</v>
      </c>
      <c r="J54">
        <f t="shared" si="1"/>
        <v>1</v>
      </c>
      <c r="K54" t="s">
        <v>32</v>
      </c>
      <c r="L54">
        <f t="shared" si="2"/>
        <v>0</v>
      </c>
      <c r="M54" t="s">
        <v>16</v>
      </c>
      <c r="N54">
        <f t="shared" si="3"/>
        <v>1</v>
      </c>
      <c r="O54" t="s">
        <v>21</v>
      </c>
      <c r="P54">
        <f t="shared" si="4"/>
        <v>0</v>
      </c>
      <c r="Q54" t="s">
        <v>27</v>
      </c>
      <c r="R54">
        <f t="shared" si="5"/>
        <v>3</v>
      </c>
      <c r="S54" t="s">
        <v>86</v>
      </c>
    </row>
    <row r="55" spans="1:19" x14ac:dyDescent="0.35">
      <c r="A55">
        <v>54</v>
      </c>
      <c r="C55" t="s">
        <v>12</v>
      </c>
      <c r="D55" t="s">
        <v>12</v>
      </c>
      <c r="E55" t="s">
        <v>12</v>
      </c>
      <c r="G55" t="s">
        <v>13</v>
      </c>
      <c r="H55">
        <f t="shared" si="0"/>
        <v>1</v>
      </c>
      <c r="I55" t="s">
        <v>30</v>
      </c>
      <c r="J55">
        <f t="shared" si="1"/>
        <v>1</v>
      </c>
      <c r="K55" t="s">
        <v>15</v>
      </c>
      <c r="L55">
        <f t="shared" si="2"/>
        <v>1</v>
      </c>
      <c r="M55" t="s">
        <v>16</v>
      </c>
      <c r="N55">
        <f t="shared" si="3"/>
        <v>1</v>
      </c>
      <c r="O55" t="s">
        <v>17</v>
      </c>
      <c r="P55">
        <f t="shared" si="4"/>
        <v>1</v>
      </c>
      <c r="Q55" t="s">
        <v>37</v>
      </c>
      <c r="R55">
        <f t="shared" si="5"/>
        <v>5</v>
      </c>
      <c r="S55" t="s">
        <v>87</v>
      </c>
    </row>
    <row r="56" spans="1:19" x14ac:dyDescent="0.35">
      <c r="A56">
        <v>55</v>
      </c>
      <c r="C56" t="s">
        <v>12</v>
      </c>
      <c r="D56" t="s">
        <v>12</v>
      </c>
      <c r="E56" t="s">
        <v>12</v>
      </c>
      <c r="G56" t="s">
        <v>13</v>
      </c>
      <c r="H56">
        <f t="shared" si="0"/>
        <v>1</v>
      </c>
      <c r="I56" t="s">
        <v>30</v>
      </c>
      <c r="J56">
        <f t="shared" si="1"/>
        <v>1</v>
      </c>
      <c r="K56" t="s">
        <v>15</v>
      </c>
      <c r="L56">
        <f t="shared" si="2"/>
        <v>1</v>
      </c>
      <c r="M56" t="s">
        <v>16</v>
      </c>
      <c r="N56">
        <f t="shared" si="3"/>
        <v>1</v>
      </c>
      <c r="O56" t="s">
        <v>21</v>
      </c>
      <c r="P56">
        <f t="shared" si="4"/>
        <v>0</v>
      </c>
      <c r="Q56" t="s">
        <v>18</v>
      </c>
      <c r="R56">
        <f t="shared" si="5"/>
        <v>4</v>
      </c>
      <c r="S56" t="s">
        <v>88</v>
      </c>
    </row>
    <row r="57" spans="1:19" x14ac:dyDescent="0.35">
      <c r="A57">
        <v>56</v>
      </c>
      <c r="C57" t="s">
        <v>12</v>
      </c>
      <c r="D57" t="s">
        <v>12</v>
      </c>
      <c r="E57" t="s">
        <v>12</v>
      </c>
      <c r="G57" t="s">
        <v>13</v>
      </c>
      <c r="H57">
        <f t="shared" si="0"/>
        <v>1</v>
      </c>
      <c r="I57" t="s">
        <v>14</v>
      </c>
      <c r="J57">
        <f t="shared" si="1"/>
        <v>0</v>
      </c>
      <c r="K57" t="s">
        <v>15</v>
      </c>
      <c r="L57">
        <f t="shared" si="2"/>
        <v>1</v>
      </c>
      <c r="M57" t="s">
        <v>34</v>
      </c>
      <c r="N57">
        <f t="shared" si="3"/>
        <v>0</v>
      </c>
      <c r="O57" t="s">
        <v>21</v>
      </c>
      <c r="P57">
        <f t="shared" si="4"/>
        <v>0</v>
      </c>
      <c r="Q57" t="s">
        <v>22</v>
      </c>
      <c r="R57">
        <f t="shared" si="5"/>
        <v>2</v>
      </c>
      <c r="S57" t="s">
        <v>89</v>
      </c>
    </row>
    <row r="58" spans="1:19" x14ac:dyDescent="0.35">
      <c r="A58">
        <v>57</v>
      </c>
      <c r="C58" t="s">
        <v>12</v>
      </c>
      <c r="D58" t="s">
        <v>12</v>
      </c>
      <c r="E58" t="s">
        <v>12</v>
      </c>
      <c r="G58" t="s">
        <v>13</v>
      </c>
      <c r="H58">
        <f t="shared" si="0"/>
        <v>1</v>
      </c>
      <c r="I58" t="s">
        <v>30</v>
      </c>
      <c r="J58">
        <f t="shared" si="1"/>
        <v>1</v>
      </c>
      <c r="K58" t="s">
        <v>15</v>
      </c>
      <c r="L58">
        <f t="shared" si="2"/>
        <v>1</v>
      </c>
      <c r="M58" t="s">
        <v>16</v>
      </c>
      <c r="N58">
        <f t="shared" si="3"/>
        <v>1</v>
      </c>
      <c r="O58" t="s">
        <v>21</v>
      </c>
      <c r="P58">
        <f t="shared" si="4"/>
        <v>0</v>
      </c>
      <c r="Q58" t="s">
        <v>18</v>
      </c>
      <c r="R58">
        <f t="shared" si="5"/>
        <v>4</v>
      </c>
      <c r="S58" t="s">
        <v>90</v>
      </c>
    </row>
    <row r="59" spans="1:19" x14ac:dyDescent="0.35">
      <c r="A59">
        <v>58</v>
      </c>
      <c r="C59" t="s">
        <v>12</v>
      </c>
      <c r="D59" t="s">
        <v>12</v>
      </c>
      <c r="E59" t="s">
        <v>12</v>
      </c>
      <c r="G59" t="s">
        <v>13</v>
      </c>
      <c r="H59">
        <f t="shared" si="0"/>
        <v>1</v>
      </c>
      <c r="I59" t="s">
        <v>30</v>
      </c>
      <c r="J59">
        <f t="shared" si="1"/>
        <v>1</v>
      </c>
      <c r="K59" t="s">
        <v>15</v>
      </c>
      <c r="L59">
        <f t="shared" si="2"/>
        <v>1</v>
      </c>
      <c r="M59" t="s">
        <v>16</v>
      </c>
      <c r="N59">
        <f t="shared" si="3"/>
        <v>1</v>
      </c>
      <c r="O59" t="s">
        <v>17</v>
      </c>
      <c r="P59">
        <f t="shared" si="4"/>
        <v>1</v>
      </c>
      <c r="Q59" t="s">
        <v>37</v>
      </c>
      <c r="R59">
        <f t="shared" si="5"/>
        <v>5</v>
      </c>
      <c r="S59" t="s">
        <v>91</v>
      </c>
    </row>
    <row r="60" spans="1:19" x14ac:dyDescent="0.35">
      <c r="A60">
        <v>59</v>
      </c>
      <c r="C60" t="s">
        <v>12</v>
      </c>
      <c r="D60" t="s">
        <v>12</v>
      </c>
      <c r="E60" t="s">
        <v>12</v>
      </c>
      <c r="G60" t="s">
        <v>13</v>
      </c>
      <c r="H60">
        <f t="shared" si="0"/>
        <v>1</v>
      </c>
      <c r="I60" t="s">
        <v>30</v>
      </c>
      <c r="J60">
        <f t="shared" si="1"/>
        <v>1</v>
      </c>
      <c r="K60" t="s">
        <v>32</v>
      </c>
      <c r="L60">
        <f t="shared" si="2"/>
        <v>0</v>
      </c>
      <c r="M60" t="s">
        <v>20</v>
      </c>
      <c r="N60">
        <f t="shared" si="3"/>
        <v>0</v>
      </c>
      <c r="O60" t="s">
        <v>21</v>
      </c>
      <c r="P60">
        <f t="shared" si="4"/>
        <v>0</v>
      </c>
      <c r="Q60" t="s">
        <v>22</v>
      </c>
      <c r="R60">
        <f t="shared" si="5"/>
        <v>2</v>
      </c>
      <c r="S60" t="s">
        <v>92</v>
      </c>
    </row>
    <row r="61" spans="1:19" x14ac:dyDescent="0.35">
      <c r="A61">
        <v>60</v>
      </c>
      <c r="C61" t="s">
        <v>12</v>
      </c>
      <c r="D61" t="s">
        <v>12</v>
      </c>
      <c r="E61" t="s">
        <v>12</v>
      </c>
      <c r="G61" t="s">
        <v>13</v>
      </c>
      <c r="H61">
        <f t="shared" si="0"/>
        <v>1</v>
      </c>
      <c r="I61" t="s">
        <v>14</v>
      </c>
      <c r="J61">
        <f t="shared" si="1"/>
        <v>0</v>
      </c>
      <c r="K61" t="s">
        <v>15</v>
      </c>
      <c r="L61">
        <f t="shared" si="2"/>
        <v>1</v>
      </c>
      <c r="M61" t="s">
        <v>16</v>
      </c>
      <c r="N61">
        <f t="shared" si="3"/>
        <v>1</v>
      </c>
      <c r="O61" t="s">
        <v>17</v>
      </c>
      <c r="P61">
        <f t="shared" si="4"/>
        <v>1</v>
      </c>
      <c r="Q61" t="s">
        <v>18</v>
      </c>
      <c r="R61">
        <f t="shared" si="5"/>
        <v>4</v>
      </c>
      <c r="S61" t="s">
        <v>93</v>
      </c>
    </row>
    <row r="62" spans="1:19" x14ac:dyDescent="0.35">
      <c r="A62">
        <v>61</v>
      </c>
      <c r="C62" t="s">
        <v>12</v>
      </c>
      <c r="D62" t="s">
        <v>12</v>
      </c>
      <c r="E62" t="s">
        <v>12</v>
      </c>
      <c r="G62" t="s">
        <v>13</v>
      </c>
      <c r="H62">
        <f t="shared" si="0"/>
        <v>1</v>
      </c>
      <c r="I62" t="s">
        <v>30</v>
      </c>
      <c r="J62">
        <f t="shared" si="1"/>
        <v>1</v>
      </c>
      <c r="K62" t="s">
        <v>15</v>
      </c>
      <c r="L62">
        <f t="shared" si="2"/>
        <v>1</v>
      </c>
      <c r="M62" t="s">
        <v>16</v>
      </c>
      <c r="N62">
        <f t="shared" si="3"/>
        <v>1</v>
      </c>
      <c r="O62" t="s">
        <v>21</v>
      </c>
      <c r="P62">
        <f t="shared" si="4"/>
        <v>0</v>
      </c>
      <c r="Q62" t="s">
        <v>18</v>
      </c>
      <c r="R62">
        <f t="shared" si="5"/>
        <v>4</v>
      </c>
      <c r="S62" t="s">
        <v>94</v>
      </c>
    </row>
    <row r="63" spans="1:19" x14ac:dyDescent="0.35">
      <c r="A63">
        <v>62</v>
      </c>
      <c r="C63" t="s">
        <v>12</v>
      </c>
      <c r="D63" t="s">
        <v>12</v>
      </c>
      <c r="E63" t="s">
        <v>12</v>
      </c>
      <c r="G63" t="s">
        <v>13</v>
      </c>
      <c r="H63">
        <f t="shared" si="0"/>
        <v>1</v>
      </c>
      <c r="I63" t="s">
        <v>30</v>
      </c>
      <c r="J63">
        <f t="shared" si="1"/>
        <v>1</v>
      </c>
      <c r="K63" t="s">
        <v>32</v>
      </c>
      <c r="L63">
        <f t="shared" si="2"/>
        <v>0</v>
      </c>
      <c r="M63" t="s">
        <v>20</v>
      </c>
      <c r="N63">
        <f t="shared" si="3"/>
        <v>0</v>
      </c>
      <c r="O63" t="s">
        <v>21</v>
      </c>
      <c r="P63">
        <f t="shared" si="4"/>
        <v>0</v>
      </c>
      <c r="Q63" t="s">
        <v>22</v>
      </c>
      <c r="R63">
        <f t="shared" si="5"/>
        <v>2</v>
      </c>
      <c r="S63" t="s">
        <v>95</v>
      </c>
    </row>
    <row r="64" spans="1:19" x14ac:dyDescent="0.35">
      <c r="A64">
        <v>63</v>
      </c>
      <c r="C64" t="s">
        <v>12</v>
      </c>
      <c r="D64" t="s">
        <v>12</v>
      </c>
      <c r="E64" t="s">
        <v>12</v>
      </c>
      <c r="G64" t="s">
        <v>13</v>
      </c>
      <c r="H64">
        <f t="shared" si="0"/>
        <v>1</v>
      </c>
      <c r="I64" t="s">
        <v>30</v>
      </c>
      <c r="J64">
        <f t="shared" si="1"/>
        <v>1</v>
      </c>
      <c r="K64" t="s">
        <v>15</v>
      </c>
      <c r="L64">
        <f t="shared" si="2"/>
        <v>1</v>
      </c>
      <c r="M64" t="s">
        <v>16</v>
      </c>
      <c r="N64">
        <f t="shared" si="3"/>
        <v>1</v>
      </c>
      <c r="O64" t="s">
        <v>17</v>
      </c>
      <c r="P64">
        <f t="shared" si="4"/>
        <v>1</v>
      </c>
      <c r="Q64" t="s">
        <v>37</v>
      </c>
      <c r="R64">
        <f t="shared" si="5"/>
        <v>5</v>
      </c>
      <c r="S64" t="s">
        <v>96</v>
      </c>
    </row>
    <row r="65" spans="1:17" x14ac:dyDescent="0.35">
      <c r="A65" t="s">
        <v>12</v>
      </c>
      <c r="B65" t="s">
        <v>97</v>
      </c>
      <c r="C65" t="s">
        <v>12</v>
      </c>
      <c r="D65" t="s">
        <v>12</v>
      </c>
      <c r="E65" t="s">
        <v>12</v>
      </c>
      <c r="G65" t="s">
        <v>98</v>
      </c>
      <c r="I65" t="s">
        <v>99</v>
      </c>
      <c r="K65" t="s">
        <v>100</v>
      </c>
      <c r="M65" t="s">
        <v>101</v>
      </c>
      <c r="O65" t="s">
        <v>102</v>
      </c>
      <c r="Q65" t="s">
        <v>103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/>
  </sheetViews>
  <sheetFormatPr baseColWidth="10" defaultColWidth="8.7265625" defaultRowHeight="14.5" x14ac:dyDescent="0.35"/>
  <cols>
    <col min="1" max="1" width="75" customWidth="1"/>
    <col min="2" max="2" width="18" customWidth="1"/>
    <col min="3" max="3" width="10" customWidth="1"/>
    <col min="4" max="4" width="15" customWidth="1"/>
  </cols>
  <sheetData>
    <row r="1" spans="1:4" x14ac:dyDescent="0.35">
      <c r="A1" t="s">
        <v>104</v>
      </c>
    </row>
    <row r="3" spans="1:4" x14ac:dyDescent="0.35">
      <c r="A3" t="s">
        <v>105</v>
      </c>
      <c r="B3" t="s">
        <v>106</v>
      </c>
      <c r="C3" t="s">
        <v>107</v>
      </c>
      <c r="D3" t="s">
        <v>108</v>
      </c>
    </row>
    <row r="4" spans="1:4" x14ac:dyDescent="0.35">
      <c r="A4" t="s">
        <v>109</v>
      </c>
      <c r="B4">
        <v>2</v>
      </c>
      <c r="C4">
        <v>3.17</v>
      </c>
      <c r="D4" t="s">
        <v>12</v>
      </c>
    </row>
    <row r="5" spans="1:4" x14ac:dyDescent="0.35">
      <c r="A5" t="s">
        <v>110</v>
      </c>
      <c r="B5">
        <v>0</v>
      </c>
      <c r="C5">
        <v>0</v>
      </c>
      <c r="D5" t="s">
        <v>12</v>
      </c>
    </row>
    <row r="6" spans="1:4" x14ac:dyDescent="0.35">
      <c r="A6" t="s">
        <v>111</v>
      </c>
      <c r="B6">
        <v>2</v>
      </c>
      <c r="C6">
        <v>3.17</v>
      </c>
      <c r="D6" t="s">
        <v>12</v>
      </c>
    </row>
    <row r="7" spans="1:4" x14ac:dyDescent="0.35">
      <c r="A7" t="s">
        <v>112</v>
      </c>
      <c r="B7">
        <v>59</v>
      </c>
      <c r="C7">
        <v>93.65</v>
      </c>
      <c r="D7" t="s">
        <v>12</v>
      </c>
    </row>
    <row r="10" spans="1:4" x14ac:dyDescent="0.35">
      <c r="A10" t="s">
        <v>113</v>
      </c>
      <c r="B10">
        <v>64</v>
      </c>
      <c r="C10" t="s">
        <v>114</v>
      </c>
    </row>
    <row r="11" spans="1:4" x14ac:dyDescent="0.35">
      <c r="A11" t="s">
        <v>115</v>
      </c>
      <c r="B11">
        <v>63</v>
      </c>
      <c r="C11" t="s">
        <v>116</v>
      </c>
    </row>
    <row r="12" spans="1:4" x14ac:dyDescent="0.35">
      <c r="A12" t="s">
        <v>117</v>
      </c>
      <c r="B12">
        <v>59</v>
      </c>
      <c r="C12" t="s">
        <v>118</v>
      </c>
    </row>
    <row r="13" spans="1:4" x14ac:dyDescent="0.35">
      <c r="A13" t="s">
        <v>119</v>
      </c>
      <c r="B13">
        <v>59</v>
      </c>
      <c r="C13" t="s">
        <v>120</v>
      </c>
    </row>
    <row r="15" spans="1:4" x14ac:dyDescent="0.35">
      <c r="A15" t="s">
        <v>121</v>
      </c>
      <c r="B15">
        <v>4</v>
      </c>
      <c r="C15" t="s">
        <v>114</v>
      </c>
    </row>
    <row r="16" spans="1:4" x14ac:dyDescent="0.35">
      <c r="A16" t="s">
        <v>122</v>
      </c>
      <c r="B16">
        <v>3.87</v>
      </c>
      <c r="C16" t="s">
        <v>98</v>
      </c>
    </row>
    <row r="17" spans="1:3" x14ac:dyDescent="0.35">
      <c r="A17" t="s">
        <v>123</v>
      </c>
      <c r="B17">
        <v>3.81</v>
      </c>
      <c r="C17" t="s">
        <v>124</v>
      </c>
    </row>
    <row r="20" spans="1:3" x14ac:dyDescent="0.35">
      <c r="A20" t="s">
        <v>125</v>
      </c>
      <c r="B20">
        <v>0</v>
      </c>
    </row>
    <row r="21" spans="1:3" x14ac:dyDescent="0.35">
      <c r="A21" t="s">
        <v>126</v>
      </c>
      <c r="B21">
        <v>63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/>
  </sheetViews>
  <sheetFormatPr baseColWidth="10" defaultColWidth="8.7265625" defaultRowHeight="14.5" x14ac:dyDescent="0.35"/>
  <cols>
    <col min="1" max="1" width="75" customWidth="1"/>
    <col min="2" max="2" width="18" customWidth="1"/>
    <col min="3" max="3" width="10" customWidth="1"/>
    <col min="4" max="4" width="15" customWidth="1"/>
  </cols>
  <sheetData>
    <row r="1" spans="1:4" x14ac:dyDescent="0.35">
      <c r="A1" t="s">
        <v>127</v>
      </c>
    </row>
    <row r="3" spans="1:4" x14ac:dyDescent="0.35">
      <c r="A3" t="s">
        <v>105</v>
      </c>
      <c r="B3" t="s">
        <v>106</v>
      </c>
      <c r="C3" t="s">
        <v>107</v>
      </c>
      <c r="D3" t="s">
        <v>108</v>
      </c>
    </row>
    <row r="4" spans="1:4" x14ac:dyDescent="0.35">
      <c r="A4" t="s">
        <v>109</v>
      </c>
      <c r="B4">
        <v>40</v>
      </c>
      <c r="C4">
        <v>64.52</v>
      </c>
      <c r="D4" t="s">
        <v>12</v>
      </c>
    </row>
    <row r="5" spans="1:4" x14ac:dyDescent="0.35">
      <c r="A5" t="s">
        <v>110</v>
      </c>
      <c r="B5">
        <v>0</v>
      </c>
      <c r="C5">
        <v>0</v>
      </c>
      <c r="D5" t="s">
        <v>12</v>
      </c>
    </row>
    <row r="6" spans="1:4" x14ac:dyDescent="0.35">
      <c r="A6" t="s">
        <v>111</v>
      </c>
      <c r="B6">
        <v>21</v>
      </c>
      <c r="C6">
        <v>33.869999999999997</v>
      </c>
      <c r="D6" t="s">
        <v>12</v>
      </c>
    </row>
    <row r="7" spans="1:4" x14ac:dyDescent="0.35">
      <c r="A7" t="s">
        <v>128</v>
      </c>
      <c r="B7">
        <v>1</v>
      </c>
      <c r="C7">
        <v>1.61</v>
      </c>
      <c r="D7" t="s">
        <v>12</v>
      </c>
    </row>
    <row r="10" spans="1:4" x14ac:dyDescent="0.35">
      <c r="A10" t="s">
        <v>113</v>
      </c>
      <c r="B10">
        <v>64</v>
      </c>
      <c r="C10" t="s">
        <v>114</v>
      </c>
    </row>
    <row r="11" spans="1:4" x14ac:dyDescent="0.35">
      <c r="A11" t="s">
        <v>115</v>
      </c>
      <c r="B11">
        <v>62</v>
      </c>
      <c r="C11" t="s">
        <v>129</v>
      </c>
    </row>
    <row r="12" spans="1:4" x14ac:dyDescent="0.35">
      <c r="A12" t="s">
        <v>117</v>
      </c>
      <c r="B12">
        <v>40</v>
      </c>
      <c r="C12" t="s">
        <v>130</v>
      </c>
    </row>
    <row r="13" spans="1:4" x14ac:dyDescent="0.35">
      <c r="A13" t="s">
        <v>119</v>
      </c>
      <c r="B13">
        <v>40</v>
      </c>
      <c r="C13" t="s">
        <v>131</v>
      </c>
    </row>
    <row r="15" spans="1:4" x14ac:dyDescent="0.35">
      <c r="A15" t="s">
        <v>121</v>
      </c>
      <c r="B15">
        <v>1</v>
      </c>
      <c r="C15" t="s">
        <v>114</v>
      </c>
    </row>
    <row r="16" spans="1:4" x14ac:dyDescent="0.35">
      <c r="A16" t="s">
        <v>122</v>
      </c>
      <c r="B16">
        <v>0.65</v>
      </c>
      <c r="C16" t="s">
        <v>130</v>
      </c>
    </row>
    <row r="17" spans="1:3" x14ac:dyDescent="0.35">
      <c r="A17" t="s">
        <v>123</v>
      </c>
      <c r="B17">
        <v>0.63</v>
      </c>
      <c r="C17" t="s">
        <v>131</v>
      </c>
    </row>
    <row r="20" spans="1:3" x14ac:dyDescent="0.35">
      <c r="A20" t="s">
        <v>125</v>
      </c>
      <c r="B20">
        <v>0</v>
      </c>
    </row>
    <row r="21" spans="1:3" x14ac:dyDescent="0.35">
      <c r="A21" t="s">
        <v>126</v>
      </c>
      <c r="B21">
        <v>62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/>
  </sheetViews>
  <sheetFormatPr baseColWidth="10" defaultColWidth="8.7265625" defaultRowHeight="14.5" x14ac:dyDescent="0.35"/>
  <cols>
    <col min="1" max="1" width="75" customWidth="1"/>
    <col min="2" max="2" width="18" customWidth="1"/>
    <col min="3" max="3" width="10" customWidth="1"/>
    <col min="4" max="4" width="15" customWidth="1"/>
  </cols>
  <sheetData>
    <row r="1" spans="1:4" x14ac:dyDescent="0.35">
      <c r="A1" t="s">
        <v>132</v>
      </c>
    </row>
    <row r="3" spans="1:4" x14ac:dyDescent="0.35">
      <c r="A3" t="s">
        <v>105</v>
      </c>
      <c r="B3" t="s">
        <v>106</v>
      </c>
      <c r="C3" t="s">
        <v>107</v>
      </c>
      <c r="D3" t="s">
        <v>108</v>
      </c>
    </row>
    <row r="4" spans="1:4" x14ac:dyDescent="0.35">
      <c r="A4" t="s">
        <v>133</v>
      </c>
      <c r="B4">
        <v>1</v>
      </c>
      <c r="C4">
        <v>1.61</v>
      </c>
      <c r="D4" t="s">
        <v>12</v>
      </c>
    </row>
    <row r="5" spans="1:4" x14ac:dyDescent="0.35">
      <c r="A5" t="s">
        <v>134</v>
      </c>
      <c r="B5">
        <v>6</v>
      </c>
      <c r="C5">
        <v>9.68</v>
      </c>
      <c r="D5" t="s">
        <v>12</v>
      </c>
    </row>
    <row r="6" spans="1:4" x14ac:dyDescent="0.35">
      <c r="A6" t="s">
        <v>135</v>
      </c>
      <c r="B6">
        <v>0</v>
      </c>
      <c r="C6">
        <v>0</v>
      </c>
      <c r="D6" t="s">
        <v>12</v>
      </c>
    </row>
    <row r="7" spans="1:4" x14ac:dyDescent="0.35">
      <c r="A7" t="s">
        <v>136</v>
      </c>
      <c r="B7">
        <v>54</v>
      </c>
      <c r="C7">
        <v>87.1</v>
      </c>
      <c r="D7" t="s">
        <v>12</v>
      </c>
    </row>
    <row r="8" spans="1:4" x14ac:dyDescent="0.35">
      <c r="A8" t="s">
        <v>137</v>
      </c>
      <c r="B8">
        <v>1</v>
      </c>
      <c r="C8">
        <v>1.61</v>
      </c>
      <c r="D8" t="s">
        <v>12</v>
      </c>
    </row>
    <row r="11" spans="1:4" x14ac:dyDescent="0.35">
      <c r="A11" t="s">
        <v>113</v>
      </c>
      <c r="B11">
        <v>64</v>
      </c>
      <c r="C11" t="s">
        <v>114</v>
      </c>
    </row>
    <row r="12" spans="1:4" x14ac:dyDescent="0.35">
      <c r="A12" t="s">
        <v>115</v>
      </c>
      <c r="B12">
        <v>62</v>
      </c>
      <c r="C12" t="s">
        <v>129</v>
      </c>
    </row>
    <row r="13" spans="1:4" x14ac:dyDescent="0.35">
      <c r="A13" t="s">
        <v>117</v>
      </c>
      <c r="B13">
        <v>54</v>
      </c>
      <c r="C13" t="s">
        <v>138</v>
      </c>
    </row>
    <row r="14" spans="1:4" x14ac:dyDescent="0.35">
      <c r="A14" t="s">
        <v>119</v>
      </c>
      <c r="B14">
        <v>54</v>
      </c>
      <c r="C14" t="s">
        <v>139</v>
      </c>
    </row>
    <row r="16" spans="1:4" x14ac:dyDescent="0.35">
      <c r="A16" t="s">
        <v>121</v>
      </c>
      <c r="B16">
        <v>1</v>
      </c>
      <c r="C16" t="s">
        <v>114</v>
      </c>
    </row>
    <row r="17" spans="1:3" x14ac:dyDescent="0.35">
      <c r="A17" t="s">
        <v>122</v>
      </c>
      <c r="B17">
        <v>0.87</v>
      </c>
      <c r="C17" t="s">
        <v>138</v>
      </c>
    </row>
    <row r="18" spans="1:3" x14ac:dyDescent="0.35">
      <c r="A18" t="s">
        <v>123</v>
      </c>
      <c r="B18">
        <v>0.84</v>
      </c>
      <c r="C18" t="s">
        <v>139</v>
      </c>
    </row>
    <row r="21" spans="1:3" x14ac:dyDescent="0.35">
      <c r="A21" t="s">
        <v>125</v>
      </c>
      <c r="B21">
        <v>0</v>
      </c>
    </row>
    <row r="22" spans="1:3" x14ac:dyDescent="0.35">
      <c r="A22" t="s">
        <v>126</v>
      </c>
      <c r="B22">
        <v>62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/>
  </sheetViews>
  <sheetFormatPr baseColWidth="10" defaultColWidth="8.7265625" defaultRowHeight="14.5" x14ac:dyDescent="0.35"/>
  <cols>
    <col min="1" max="1" width="75" customWidth="1"/>
    <col min="2" max="2" width="18" customWidth="1"/>
    <col min="3" max="3" width="10" customWidth="1"/>
    <col min="4" max="4" width="15" customWidth="1"/>
  </cols>
  <sheetData>
    <row r="1" spans="1:4" x14ac:dyDescent="0.35">
      <c r="A1" t="s">
        <v>140</v>
      </c>
    </row>
    <row r="3" spans="1:4" x14ac:dyDescent="0.35">
      <c r="A3" t="s">
        <v>105</v>
      </c>
      <c r="B3" t="s">
        <v>106</v>
      </c>
      <c r="C3" t="s">
        <v>107</v>
      </c>
      <c r="D3" t="s">
        <v>108</v>
      </c>
    </row>
    <row r="4" spans="1:4" x14ac:dyDescent="0.35">
      <c r="A4" t="s">
        <v>141</v>
      </c>
      <c r="B4">
        <v>10</v>
      </c>
      <c r="C4">
        <v>16.39</v>
      </c>
      <c r="D4" t="s">
        <v>12</v>
      </c>
    </row>
    <row r="5" spans="1:4" x14ac:dyDescent="0.35">
      <c r="A5" t="s">
        <v>142</v>
      </c>
      <c r="B5">
        <v>0</v>
      </c>
      <c r="C5">
        <v>0</v>
      </c>
      <c r="D5" t="s">
        <v>12</v>
      </c>
    </row>
    <row r="6" spans="1:4" x14ac:dyDescent="0.35">
      <c r="A6" t="s">
        <v>143</v>
      </c>
      <c r="B6">
        <v>36</v>
      </c>
      <c r="C6">
        <v>59.02</v>
      </c>
      <c r="D6" t="s">
        <v>12</v>
      </c>
    </row>
    <row r="7" spans="1:4" x14ac:dyDescent="0.35">
      <c r="A7" t="s">
        <v>144</v>
      </c>
      <c r="B7">
        <v>15</v>
      </c>
      <c r="C7">
        <v>24.59</v>
      </c>
      <c r="D7" t="s">
        <v>12</v>
      </c>
    </row>
    <row r="8" spans="1:4" x14ac:dyDescent="0.35">
      <c r="A8" t="s">
        <v>145</v>
      </c>
      <c r="B8">
        <v>0</v>
      </c>
      <c r="C8">
        <v>0</v>
      </c>
      <c r="D8" t="s">
        <v>12</v>
      </c>
    </row>
    <row r="11" spans="1:4" x14ac:dyDescent="0.35">
      <c r="A11" t="s">
        <v>113</v>
      </c>
      <c r="B11">
        <v>64</v>
      </c>
      <c r="C11" t="s">
        <v>114</v>
      </c>
    </row>
    <row r="12" spans="1:4" x14ac:dyDescent="0.35">
      <c r="A12" t="s">
        <v>115</v>
      </c>
      <c r="B12">
        <v>61</v>
      </c>
      <c r="C12" t="s">
        <v>124</v>
      </c>
    </row>
    <row r="13" spans="1:4" x14ac:dyDescent="0.35">
      <c r="A13" t="s">
        <v>117</v>
      </c>
      <c r="B13">
        <v>36</v>
      </c>
      <c r="C13" t="s">
        <v>146</v>
      </c>
    </row>
    <row r="14" spans="1:4" x14ac:dyDescent="0.35">
      <c r="A14" t="s">
        <v>119</v>
      </c>
      <c r="B14">
        <v>36</v>
      </c>
      <c r="C14" t="s">
        <v>147</v>
      </c>
    </row>
    <row r="16" spans="1:4" x14ac:dyDescent="0.35">
      <c r="A16" t="s">
        <v>121</v>
      </c>
      <c r="B16">
        <v>1</v>
      </c>
      <c r="C16" t="s">
        <v>114</v>
      </c>
    </row>
    <row r="17" spans="1:3" x14ac:dyDescent="0.35">
      <c r="A17" t="s">
        <v>122</v>
      </c>
      <c r="B17">
        <v>0.59</v>
      </c>
      <c r="C17" t="s">
        <v>146</v>
      </c>
    </row>
    <row r="18" spans="1:3" x14ac:dyDescent="0.35">
      <c r="A18" t="s">
        <v>123</v>
      </c>
      <c r="B18">
        <v>0.56000000000000005</v>
      </c>
      <c r="C18" t="s">
        <v>147</v>
      </c>
    </row>
    <row r="21" spans="1:3" x14ac:dyDescent="0.35">
      <c r="A21" t="s">
        <v>125</v>
      </c>
      <c r="B21">
        <v>0</v>
      </c>
    </row>
    <row r="22" spans="1:3" x14ac:dyDescent="0.35">
      <c r="A22" t="s">
        <v>126</v>
      </c>
      <c r="B22">
        <v>61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baseColWidth="10" defaultColWidth="8.7265625" defaultRowHeight="14.5" x14ac:dyDescent="0.35"/>
  <cols>
    <col min="1" max="1" width="75" customWidth="1"/>
    <col min="2" max="2" width="18" customWidth="1"/>
    <col min="3" max="3" width="10" customWidth="1"/>
    <col min="4" max="4" width="15" customWidth="1"/>
  </cols>
  <sheetData>
    <row r="1" spans="1:4" x14ac:dyDescent="0.35">
      <c r="A1" t="s">
        <v>148</v>
      </c>
    </row>
    <row r="3" spans="1:4" x14ac:dyDescent="0.35">
      <c r="A3" t="s">
        <v>105</v>
      </c>
      <c r="B3" t="s">
        <v>106</v>
      </c>
      <c r="C3" t="s">
        <v>107</v>
      </c>
      <c r="D3" t="s">
        <v>108</v>
      </c>
    </row>
    <row r="4" spans="1:4" x14ac:dyDescent="0.35">
      <c r="A4" t="s">
        <v>149</v>
      </c>
      <c r="B4">
        <v>31</v>
      </c>
      <c r="C4">
        <v>49.21</v>
      </c>
      <c r="D4" t="s">
        <v>12</v>
      </c>
    </row>
    <row r="5" spans="1:4" x14ac:dyDescent="0.35">
      <c r="A5" t="s">
        <v>150</v>
      </c>
      <c r="B5">
        <v>30</v>
      </c>
      <c r="C5">
        <v>47.62</v>
      </c>
      <c r="D5" t="s">
        <v>12</v>
      </c>
    </row>
    <row r="6" spans="1:4" x14ac:dyDescent="0.35">
      <c r="A6" t="s">
        <v>151</v>
      </c>
      <c r="B6">
        <v>2</v>
      </c>
      <c r="C6">
        <v>3.17</v>
      </c>
      <c r="D6" t="s">
        <v>12</v>
      </c>
    </row>
    <row r="9" spans="1:4" x14ac:dyDescent="0.35">
      <c r="A9" t="s">
        <v>113</v>
      </c>
      <c r="B9">
        <v>64</v>
      </c>
      <c r="C9" t="s">
        <v>114</v>
      </c>
    </row>
    <row r="10" spans="1:4" x14ac:dyDescent="0.35">
      <c r="A10" t="s">
        <v>115</v>
      </c>
      <c r="B10">
        <v>63</v>
      </c>
      <c r="C10" t="s">
        <v>116</v>
      </c>
    </row>
    <row r="11" spans="1:4" x14ac:dyDescent="0.35">
      <c r="A11" t="s">
        <v>117</v>
      </c>
      <c r="B11">
        <v>30</v>
      </c>
      <c r="C11" t="s">
        <v>102</v>
      </c>
    </row>
    <row r="12" spans="1:4" x14ac:dyDescent="0.35">
      <c r="A12" t="s">
        <v>119</v>
      </c>
      <c r="B12">
        <v>30</v>
      </c>
      <c r="C12" t="s">
        <v>152</v>
      </c>
    </row>
    <row r="14" spans="1:4" x14ac:dyDescent="0.35">
      <c r="A14" t="s">
        <v>121</v>
      </c>
      <c r="B14">
        <v>1</v>
      </c>
      <c r="C14" t="s">
        <v>114</v>
      </c>
    </row>
    <row r="15" spans="1:4" x14ac:dyDescent="0.35">
      <c r="A15" t="s">
        <v>122</v>
      </c>
      <c r="B15">
        <v>0.48</v>
      </c>
      <c r="C15" t="s">
        <v>102</v>
      </c>
    </row>
    <row r="16" spans="1:4" x14ac:dyDescent="0.35">
      <c r="A16" t="s">
        <v>123</v>
      </c>
      <c r="B16">
        <v>0.47</v>
      </c>
      <c r="C16" t="s">
        <v>152</v>
      </c>
    </row>
    <row r="19" spans="1:2" x14ac:dyDescent="0.35">
      <c r="A19" t="s">
        <v>125</v>
      </c>
      <c r="B19">
        <v>0</v>
      </c>
    </row>
    <row r="20" spans="1:2" x14ac:dyDescent="0.35">
      <c r="A20" t="s">
        <v>126</v>
      </c>
      <c r="B20">
        <v>63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baseColWidth="10" defaultColWidth="8.7265625" defaultRowHeight="14.5" x14ac:dyDescent="0.35"/>
  <cols>
    <col min="1" max="1" width="11" customWidth="1"/>
    <col min="2" max="2" width="13" customWidth="1"/>
    <col min="3" max="3" width="12" customWidth="1"/>
    <col min="4" max="5" width="10" customWidth="1"/>
    <col min="6" max="6" width="12" customWidth="1"/>
    <col min="7" max="7" width="10" customWidth="1"/>
  </cols>
  <sheetData>
    <row r="1" spans="1:6" x14ac:dyDescent="0.35">
      <c r="A1" t="s">
        <v>153</v>
      </c>
      <c r="B1" t="s">
        <v>154</v>
      </c>
      <c r="C1" t="s">
        <v>155</v>
      </c>
      <c r="D1" t="s">
        <v>4</v>
      </c>
      <c r="E1" t="s">
        <v>156</v>
      </c>
      <c r="F1" t="s">
        <v>157</v>
      </c>
    </row>
    <row r="4" spans="1:6" x14ac:dyDescent="0.35">
      <c r="A4" t="s">
        <v>158</v>
      </c>
      <c r="B4">
        <v>0</v>
      </c>
    </row>
    <row r="5" spans="1:6" x14ac:dyDescent="0.35">
      <c r="A5" t="s">
        <v>159</v>
      </c>
      <c r="B5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Résultats principaux</vt:lpstr>
      <vt:lpstr>Q1</vt:lpstr>
      <vt:lpstr>Q2</vt:lpstr>
      <vt:lpstr>Q3</vt:lpstr>
      <vt:lpstr>Q4</vt:lpstr>
      <vt:lpstr>Q5</vt:lpstr>
      <vt:lpstr>Mur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2026-09-18T07:59:09Z</dcterms:created>
  <dcterms:modified xsi:type="dcterms:W3CDTF">2026-09-21T16:22:01Z</dcterms:modified>
  <cp:category/>
</cp:coreProperties>
</file>